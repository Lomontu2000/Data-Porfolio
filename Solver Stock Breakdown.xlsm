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\Desktop\"/>
    </mc:Choice>
  </mc:AlternateContent>
  <xr:revisionPtr revIDLastSave="0" documentId="8_{ECF88C75-D7DB-4CE4-8620-AE4E13EFDD91}" xr6:coauthVersionLast="47" xr6:coauthVersionMax="47" xr10:uidLastSave="{00000000-0000-0000-0000-000000000000}"/>
  <bookViews>
    <workbookView xWindow="-120" yWindow="-120" windowWidth="38640" windowHeight="21240" xr2:uid="{921A1551-3055-4905-B9BB-0137A760DD58}"/>
  </bookViews>
  <sheets>
    <sheet name="Portfolio Breakdown" sheetId="1" r:id="rId1"/>
    <sheet name="Sheet2" sheetId="2" r:id="rId2"/>
  </sheets>
  <definedNames>
    <definedName name="solver_adj" localSheetId="0" hidden="1">'Portfolio Breakdown'!$H$3:$H$26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'Portfolio Breakdown'!$H$3:$H$26</definedName>
    <definedName name="solver_lhs2" localSheetId="0" hidden="1">'Portfolio Breakdown'!$H$3:$H$26</definedName>
    <definedName name="solver_lhs3" localSheetId="0" hidden="1">'Portfolio Breakdown'!$K$27</definedName>
    <definedName name="solver_lhs4" localSheetId="0" hidden="1">'Portfolio Breakdown'!$K$3:$K$26</definedName>
    <definedName name="solver_lhs5" localSheetId="0" hidden="1">'Portfolio Breakdown'!$N$27</definedName>
    <definedName name="solver_lhs6" localSheetId="0" hidden="1">'Portfolio Breakdown'!$R$29:$R$32</definedName>
    <definedName name="solver_lhs7" localSheetId="0" hidden="1">'Portfolio Breakdown'!$R$30</definedName>
    <definedName name="solver_lhs8" localSheetId="0" hidden="1">'Portfolio Breakdown'!$H$3:$H$26</definedName>
    <definedName name="solver_lhs9" localSheetId="0" hidden="1">'Portfolio Breakdown'!$H$3:$H$26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'Portfolio Breakdown'!$AC$9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1</definedName>
    <definedName name="solver_rel5" localSheetId="0" hidden="1">3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3</definedName>
    <definedName name="solver_rhs1" localSheetId="0" hidden="1">"integer"</definedName>
    <definedName name="solver_rhs2" localSheetId="0" hidden="1">0</definedName>
    <definedName name="solver_rhs3" localSheetId="0" hidden="1">1</definedName>
    <definedName name="solver_rhs4" localSheetId="0" hidden="1">'Portfolio Breakdown'!$K$30</definedName>
    <definedName name="solver_rhs5" localSheetId="0" hidden="1">'Portfolio Breakdown'!$N$30</definedName>
    <definedName name="solver_rhs6" localSheetId="0" hidden="1">0</definedName>
    <definedName name="solver_rhs7" localSheetId="0" hidden="1">'Portfolio Breakdown'!$R$27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5" i="1" l="1"/>
  <c r="K15" i="1" s="1"/>
  <c r="Q22" i="1" l="1"/>
  <c r="D32" i="2" l="1"/>
  <c r="K22" i="1" l="1"/>
  <c r="O22" i="1" s="1"/>
  <c r="F22" i="1"/>
  <c r="I22" i="1" s="1"/>
  <c r="N22" i="1" s="1"/>
  <c r="Q21" i="1"/>
  <c r="K21" i="1" s="1"/>
  <c r="O21" i="1" s="1"/>
  <c r="F21" i="1"/>
  <c r="I21" i="1" s="1"/>
  <c r="N21" i="1" s="1"/>
  <c r="Q23" i="1"/>
  <c r="K23" i="1" s="1"/>
  <c r="O23" i="1" s="1"/>
  <c r="F23" i="1"/>
  <c r="I23" i="1" s="1"/>
  <c r="N23" i="1" s="1"/>
  <c r="Q20" i="1"/>
  <c r="K20" i="1" s="1"/>
  <c r="O20" i="1" s="1"/>
  <c r="F20" i="1"/>
  <c r="I20" i="1" s="1"/>
  <c r="N20" i="1" s="1"/>
  <c r="Q19" i="1"/>
  <c r="F19" i="1"/>
  <c r="Q18" i="1"/>
  <c r="K18" i="1" s="1"/>
  <c r="O18" i="1" s="1"/>
  <c r="F18" i="1"/>
  <c r="I18" i="1" s="1"/>
  <c r="N18" i="1" s="1"/>
  <c r="Q24" i="1"/>
  <c r="K24" i="1" s="1"/>
  <c r="O24" i="1" s="1"/>
  <c r="F24" i="1"/>
  <c r="I24" i="1" s="1"/>
  <c r="N24" i="1" s="1"/>
  <c r="Q25" i="1"/>
  <c r="F25" i="1"/>
  <c r="M25" i="1" s="1"/>
  <c r="K25" i="1" l="1"/>
  <c r="O25" i="1" s="1"/>
  <c r="I25" i="1"/>
  <c r="N25" i="1" s="1"/>
  <c r="M21" i="1"/>
  <c r="I19" i="1"/>
  <c r="N19" i="1" s="1"/>
  <c r="K19" i="1"/>
  <c r="M20" i="1"/>
  <c r="M18" i="1"/>
  <c r="M22" i="1"/>
  <c r="M23" i="1"/>
  <c r="M24" i="1"/>
  <c r="M19" i="1"/>
  <c r="P24" i="1"/>
  <c r="P22" i="1"/>
  <c r="P18" i="1"/>
  <c r="P23" i="1"/>
  <c r="P21" i="1"/>
  <c r="P20" i="1"/>
  <c r="F16" i="1"/>
  <c r="Q16" i="1"/>
  <c r="K16" i="1" s="1"/>
  <c r="Q26" i="1"/>
  <c r="K26" i="1" s="1"/>
  <c r="F26" i="1"/>
  <c r="M26" i="1" s="1"/>
  <c r="F3" i="1"/>
  <c r="M3" i="1" s="1"/>
  <c r="Q4" i="1"/>
  <c r="Q5" i="1"/>
  <c r="Q6" i="1"/>
  <c r="Q7" i="1"/>
  <c r="K7" i="1" s="1"/>
  <c r="O7" i="1" s="1"/>
  <c r="Q8" i="1"/>
  <c r="K8" i="1" s="1"/>
  <c r="O8" i="1" s="1"/>
  <c r="Q9" i="1"/>
  <c r="Q10" i="1"/>
  <c r="Q11" i="1"/>
  <c r="Q12" i="1"/>
  <c r="Q13" i="1"/>
  <c r="Q14" i="1"/>
  <c r="Q17" i="1"/>
  <c r="Q3" i="1"/>
  <c r="K3" i="1" s="1"/>
  <c r="O3" i="1" s="1"/>
  <c r="F4" i="1"/>
  <c r="M4" i="1" s="1"/>
  <c r="F5" i="1"/>
  <c r="M5" i="1" s="1"/>
  <c r="F6" i="1"/>
  <c r="M6" i="1" s="1"/>
  <c r="F7" i="1"/>
  <c r="M7" i="1" s="1"/>
  <c r="F8" i="1"/>
  <c r="M8" i="1" s="1"/>
  <c r="F9" i="1"/>
  <c r="M9" i="1" s="1"/>
  <c r="F10" i="1"/>
  <c r="M10" i="1" s="1"/>
  <c r="F11" i="1"/>
  <c r="M11" i="1" s="1"/>
  <c r="F12" i="1"/>
  <c r="M12" i="1" s="1"/>
  <c r="F13" i="1"/>
  <c r="M13" i="1" s="1"/>
  <c r="F14" i="1"/>
  <c r="M14" i="1" s="1"/>
  <c r="F15" i="1"/>
  <c r="M15" i="1" s="1"/>
  <c r="F17" i="1"/>
  <c r="M17" i="1" s="1"/>
  <c r="P25" i="1" l="1"/>
  <c r="I14" i="1"/>
  <c r="N14" i="1" s="1"/>
  <c r="I26" i="1"/>
  <c r="N26" i="1" s="1"/>
  <c r="I9" i="1"/>
  <c r="N9" i="1" s="1"/>
  <c r="M16" i="1"/>
  <c r="I16" i="1"/>
  <c r="N16" i="1" s="1"/>
  <c r="O16" i="1"/>
  <c r="P16" i="1"/>
  <c r="O19" i="1"/>
  <c r="P19" i="1"/>
  <c r="I13" i="1"/>
  <c r="N13" i="1" s="1"/>
  <c r="I12" i="1"/>
  <c r="N12" i="1" s="1"/>
  <c r="I11" i="1"/>
  <c r="N11" i="1" s="1"/>
  <c r="I10" i="1"/>
  <c r="N10" i="1" s="1"/>
  <c r="I8" i="1"/>
  <c r="N8" i="1" s="1"/>
  <c r="I7" i="1"/>
  <c r="N7" i="1" s="1"/>
  <c r="I6" i="1"/>
  <c r="N6" i="1" s="1"/>
  <c r="I17" i="1"/>
  <c r="N17" i="1" s="1"/>
  <c r="I5" i="1"/>
  <c r="N5" i="1" s="1"/>
  <c r="I4" i="1"/>
  <c r="N4" i="1" s="1"/>
  <c r="I15" i="1"/>
  <c r="N15" i="1" s="1"/>
  <c r="I3" i="1"/>
  <c r="N3" i="1" s="1"/>
  <c r="P8" i="1"/>
  <c r="P7" i="1"/>
  <c r="P3" i="1"/>
  <c r="K6" i="1"/>
  <c r="O6" i="1" s="1"/>
  <c r="K5" i="1"/>
  <c r="O5" i="1" s="1"/>
  <c r="K4" i="1"/>
  <c r="O4" i="1" s="1"/>
  <c r="O26" i="1"/>
  <c r="K13" i="1"/>
  <c r="O13" i="1" s="1"/>
  <c r="K12" i="1"/>
  <c r="O12" i="1" s="1"/>
  <c r="K11" i="1"/>
  <c r="O11" i="1" s="1"/>
  <c r="K17" i="1"/>
  <c r="O17" i="1" s="1"/>
  <c r="O15" i="1"/>
  <c r="K14" i="1"/>
  <c r="O14" i="1" s="1"/>
  <c r="K10" i="1"/>
  <c r="O10" i="1" s="1"/>
  <c r="K9" i="1"/>
  <c r="O9" i="1" s="1"/>
  <c r="R30" i="1"/>
  <c r="K27" i="1" l="1"/>
  <c r="I27" i="1"/>
  <c r="N27" i="1"/>
  <c r="P15" i="1"/>
  <c r="P17" i="1"/>
  <c r="P4" i="1"/>
  <c r="P6" i="1"/>
  <c r="P10" i="1"/>
  <c r="P12" i="1"/>
  <c r="P13" i="1"/>
  <c r="P14" i="1"/>
  <c r="P26" i="1"/>
  <c r="P5" i="1"/>
  <c r="P9" i="1"/>
  <c r="P11" i="1"/>
  <c r="P27" i="1" l="1"/>
  <c r="R29" i="1" s="1"/>
  <c r="O27" i="1"/>
  <c r="R31" i="1" s="1"/>
  <c r="R32" i="1" l="1"/>
  <c r="R3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</author>
  </authors>
  <commentList>
    <comment ref="O2" authorId="0" shapeId="0" xr:uid="{307FA308-48AD-4E5D-B1EE-E052B0D08960}">
      <text>
        <r>
          <rPr>
            <b/>
            <sz val="9"/>
            <color indexed="81"/>
            <rFont val="Tahoma"/>
            <family val="2"/>
          </rPr>
          <t>Lo:</t>
        </r>
        <r>
          <rPr>
            <sz val="9"/>
            <color indexed="81"/>
            <rFont val="Tahoma"/>
            <family val="2"/>
          </rPr>
          <t xml:space="preserve">
Beta is a measure of the volatility, or systematic risk, of a security or portfolio in comparison to the market as a whole.</t>
        </r>
      </text>
    </comment>
    <comment ref="Q32" authorId="0" shapeId="0" xr:uid="{F9C254EB-603E-4B21-B21A-35657C3D3EE6}">
      <text>
        <r>
          <rPr>
            <b/>
            <sz val="9"/>
            <color indexed="81"/>
            <rFont val="Tahoma"/>
            <family val="2"/>
          </rPr>
          <t>Lo:</t>
        </r>
        <r>
          <rPr>
            <sz val="9"/>
            <color indexed="81"/>
            <rFont val="Tahoma"/>
            <family val="2"/>
          </rPr>
          <t xml:space="preserve">
Alpha (α) is a term used in investing to describe an investment strategy's ability to beat the market, or its "edge."</t>
        </r>
      </text>
    </comment>
  </commentList>
</comments>
</file>

<file path=xl/sharedStrings.xml><?xml version="1.0" encoding="utf-8"?>
<sst xmlns="http://schemas.openxmlformats.org/spreadsheetml/2006/main" count="151" uniqueCount="82">
  <si>
    <t>SPG</t>
  </si>
  <si>
    <t>Current Price</t>
  </si>
  <si>
    <t>Total Account Balance</t>
  </si>
  <si>
    <t>Total Possible shares</t>
  </si>
  <si>
    <t>Return Per year</t>
  </si>
  <si>
    <t>ARI</t>
  </si>
  <si>
    <t>MIC</t>
  </si>
  <si>
    <t>PHK</t>
  </si>
  <si>
    <t>IGD</t>
  </si>
  <si>
    <t>BGB</t>
  </si>
  <si>
    <t>IRM</t>
  </si>
  <si>
    <t>WFC</t>
  </si>
  <si>
    <t>YOLO</t>
  </si>
  <si>
    <t>T</t>
  </si>
  <si>
    <t>AVGO</t>
  </si>
  <si>
    <t>IBM</t>
  </si>
  <si>
    <t>PRU</t>
  </si>
  <si>
    <t>IDV</t>
  </si>
  <si>
    <t>Buy amount</t>
  </si>
  <si>
    <t>Weight</t>
  </si>
  <si>
    <t>Retun %</t>
  </si>
  <si>
    <t>Return Per Stock</t>
  </si>
  <si>
    <t>https://finbox.com/NYSE:MIC/explorer/beta</t>
  </si>
  <si>
    <t>5 year BETA vs NYSE</t>
  </si>
  <si>
    <t>Portfoli Risk</t>
  </si>
  <si>
    <t>Max balance</t>
  </si>
  <si>
    <t>Stocks Owned</t>
  </si>
  <si>
    <t>ACRE</t>
  </si>
  <si>
    <t>FRO</t>
  </si>
  <si>
    <t>Power</t>
  </si>
  <si>
    <t>Weight Limit</t>
  </si>
  <si>
    <t>Div Payout</t>
  </si>
  <si>
    <t>Div Distributed a Year</t>
  </si>
  <si>
    <t>Ticker</t>
  </si>
  <si>
    <t>WES</t>
  </si>
  <si>
    <t>WHG</t>
  </si>
  <si>
    <t>LTC</t>
  </si>
  <si>
    <t>AINV</t>
  </si>
  <si>
    <t>M</t>
  </si>
  <si>
    <t>Risk Limit</t>
  </si>
  <si>
    <t>BGS</t>
  </si>
  <si>
    <t>BKT</t>
  </si>
  <si>
    <t>MIN</t>
  </si>
  <si>
    <t>https://www.morningstar.com/stocks/xnys/t/quote</t>
  </si>
  <si>
    <t>Volitility</t>
  </si>
  <si>
    <t>Sharp Ratio</t>
  </si>
  <si>
    <t>Ten year Treasury Rate</t>
  </si>
  <si>
    <t>Beta Risk</t>
  </si>
  <si>
    <t>https://www.tradingview.com/screener/</t>
  </si>
  <si>
    <t>Portfolio Sharp Ratio</t>
  </si>
  <si>
    <t>Volit. Weight</t>
  </si>
  <si>
    <t>Name</t>
  </si>
  <si>
    <t>Annualized Return</t>
  </si>
  <si>
    <t>Daily Standard Deviation</t>
  </si>
  <si>
    <t>Monthly Standard Deviation</t>
  </si>
  <si>
    <t>Annualized Standard Deviation</t>
  </si>
  <si>
    <t>Simon Property Group, Inc.</t>
  </si>
  <si>
    <t>-</t>
  </si>
  <si>
    <t>Apollo Commercial Real Estate Finance</t>
  </si>
  <si>
    <t>Macquarie Infrastructure Company</t>
  </si>
  <si>
    <t>PIMCO High Income</t>
  </si>
  <si>
    <t>Voya Global Equity Dividend&amp;Premium Opp</t>
  </si>
  <si>
    <t>Blackstone/GSO Strategic Credit</t>
  </si>
  <si>
    <t>Iron Mountain Incorporated</t>
  </si>
  <si>
    <t>Wells Fargo &amp; Company</t>
  </si>
  <si>
    <t>AT&amp;T Inc.</t>
  </si>
  <si>
    <t>Broadcom Limited</t>
  </si>
  <si>
    <t>International Business Machines Corporation</t>
  </si>
  <si>
    <t>Prudential Financial, Inc.</t>
  </si>
  <si>
    <t>Frontline Ltd.</t>
  </si>
  <si>
    <t>iShares International Select Div ETF</t>
  </si>
  <si>
    <t>LTC Properties, Inc.</t>
  </si>
  <si>
    <t>Apollo Investment Corporation</t>
  </si>
  <si>
    <t>Macy's Inc</t>
  </si>
  <si>
    <t>BlackRock Income Trust</t>
  </si>
  <si>
    <t>MFS Intermediate Income</t>
  </si>
  <si>
    <t>B&amp;G Foods, Inc.</t>
  </si>
  <si>
    <t>Westwood Holdings Group Inc</t>
  </si>
  <si>
    <t>Western Gas Partners LP</t>
  </si>
  <si>
    <t>Ares Commercial Real Estate Corporation</t>
  </si>
  <si>
    <t>Demanded Return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</si>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</sst>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0.000%"/>
    <numFmt numFmtId="166" formatCode="[$-409]d\-mmm\-yy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6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rgb="FFDDDDDD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44" fontId="0" fillId="0" borderId="0" xfId="1" applyFont="1"/>
    <xf numFmtId="44" fontId="0" fillId="0" borderId="0" xfId="0" applyNumberFormat="1"/>
    <xf numFmtId="44" fontId="0" fillId="2" borderId="0" xfId="1" applyFont="1" applyFill="1"/>
    <xf numFmtId="44" fontId="0" fillId="3" borderId="0" xfId="0" applyNumberFormat="1" applyFill="1"/>
    <xf numFmtId="164" fontId="0" fillId="0" borderId="0" xfId="2" applyNumberFormat="1" applyFont="1"/>
    <xf numFmtId="0" fontId="2" fillId="0" borderId="0" xfId="3"/>
    <xf numFmtId="0" fontId="0" fillId="4" borderId="0" xfId="0" applyFill="1" applyAlignment="1">
      <alignment horizontal="center" vertical="center" wrapText="1"/>
    </xf>
    <xf numFmtId="0" fontId="0" fillId="3" borderId="0" xfId="0" applyFill="1"/>
    <xf numFmtId="9" fontId="0" fillId="3" borderId="0" xfId="0" applyNumberFormat="1" applyFill="1"/>
    <xf numFmtId="10" fontId="0" fillId="3" borderId="0" xfId="2" applyNumberFormat="1" applyFont="1" applyFill="1"/>
    <xf numFmtId="164" fontId="0" fillId="5" borderId="0" xfId="0" applyNumberFormat="1" applyFill="1"/>
    <xf numFmtId="10" fontId="0" fillId="0" borderId="0" xfId="2" applyNumberFormat="1" applyFont="1"/>
    <xf numFmtId="0" fontId="0" fillId="6" borderId="0" xfId="0" applyFill="1"/>
    <xf numFmtId="10" fontId="0" fillId="3" borderId="0" xfId="0" applyNumberFormat="1" applyFill="1"/>
    <xf numFmtId="2" fontId="0" fillId="0" borderId="0" xfId="2" applyNumberFormat="1" applyFont="1"/>
    <xf numFmtId="166" fontId="0" fillId="0" borderId="0" xfId="0" applyNumberFormat="1"/>
    <xf numFmtId="0" fontId="3" fillId="8" borderId="1" xfId="0" applyFont="1" applyFill="1" applyBorder="1" applyAlignment="1">
      <alignment vertical="top" wrapText="1"/>
    </xf>
    <xf numFmtId="0" fontId="3" fillId="8" borderId="1" xfId="0" applyFont="1" applyFill="1" applyBorder="1" applyAlignment="1">
      <alignment horizontal="right" vertical="top"/>
    </xf>
    <xf numFmtId="10" fontId="3" fillId="8" borderId="1" xfId="0" applyNumberFormat="1" applyFont="1" applyFill="1" applyBorder="1" applyAlignment="1">
      <alignment horizontal="right" vertical="top"/>
    </xf>
    <xf numFmtId="0" fontId="3" fillId="7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right" vertical="top"/>
    </xf>
    <xf numFmtId="10" fontId="3" fillId="7" borderId="1" xfId="0" applyNumberFormat="1" applyFont="1" applyFill="1" applyBorder="1" applyAlignment="1">
      <alignment horizontal="right" vertical="top"/>
    </xf>
    <xf numFmtId="0" fontId="0" fillId="0" borderId="0" xfId="1" applyNumberFormat="1" applyFont="1"/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165" fontId="0" fillId="2" borderId="2" xfId="2" applyNumberFormat="1" applyFont="1" applyFill="1" applyBorder="1" applyAlignment="1">
      <alignment horizontal="center" vertical="center"/>
    </xf>
    <xf numFmtId="9" fontId="0" fillId="2" borderId="2" xfId="2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9" fontId="0" fillId="3" borderId="7" xfId="2" applyFont="1" applyFill="1" applyBorder="1" applyAlignment="1">
      <alignment horizontal="center" vertical="center"/>
    </xf>
    <xf numFmtId="44" fontId="0" fillId="3" borderId="9" xfId="0" applyNumberFormat="1" applyFill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1" fontId="0" fillId="0" borderId="5" xfId="2" applyNumberFormat="1" applyFont="1" applyBorder="1"/>
    <xf numFmtId="1" fontId="0" fillId="0" borderId="5" xfId="2" applyNumberFormat="1" applyFont="1" applyBorder="1" applyAlignment="1"/>
    <xf numFmtId="0" fontId="0" fillId="0" borderId="12" xfId="0" applyFill="1" applyBorder="1" applyAlignment="1">
      <alignment horizontal="center" vertical="center" wrapText="1"/>
    </xf>
    <xf numFmtId="164" fontId="0" fillId="9" borderId="13" xfId="0" applyNumberFormat="1" applyFill="1" applyBorder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5"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742950</xdr:colOff>
      <xdr:row>1</xdr:row>
      <xdr:rowOff>323850</xdr:rowOff>
    </xdr:from>
    <xdr:to>
      <xdr:col>27</xdr:col>
      <xdr:colOff>27882</xdr:colOff>
      <xdr:row>29</xdr:row>
      <xdr:rowOff>180251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7E5CE5-BC40-C360-2B7A-83022FA83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82900" y="514350"/>
          <a:ext cx="5542857" cy="5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radingview.com/screener/" TargetMode="External"/><Relationship Id="rId2" Type="http://schemas.openxmlformats.org/officeDocument/2006/relationships/hyperlink" Target="https://www.morningstar.com/stocks/xnys/t/quote" TargetMode="External"/><Relationship Id="rId1" Type="http://schemas.openxmlformats.org/officeDocument/2006/relationships/hyperlink" Target="https://finbox.com/NYSE:MIC/explorer/beta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C9BDB-2371-45B3-AF1B-2C81C2FC3442}">
  <sheetPr codeName="Sheet1"/>
  <dimension ref="B1:AG38"/>
  <sheetViews>
    <sheetView showGridLines="0" tabSelected="1" zoomScaleNormal="100" workbookViewId="0">
      <selection activeCell="X13" sqref="X13"/>
    </sheetView>
  </sheetViews>
  <sheetFormatPr defaultRowHeight="15" x14ac:dyDescent="0.25"/>
  <cols>
    <col min="2" max="2" width="6.28515625" bestFit="1" customWidth="1"/>
    <col min="3" max="3" width="11" customWidth="1"/>
    <col min="4" max="4" width="14.85546875" customWidth="1"/>
    <col min="5" max="5" width="10.42578125" bestFit="1" customWidth="1"/>
    <col min="6" max="7" width="12.85546875" customWidth="1"/>
    <col min="8" max="11" width="14.85546875" customWidth="1"/>
    <col min="12" max="12" width="8.42578125" customWidth="1"/>
    <col min="13" max="13" width="8.140625" customWidth="1"/>
    <col min="14" max="14" width="14.85546875" customWidth="1"/>
    <col min="17" max="17" width="12.5703125" bestFit="1" customWidth="1"/>
    <col min="18" max="18" width="11.5703125" bestFit="1" customWidth="1"/>
    <col min="19" max="19" width="11.85546875" bestFit="1" customWidth="1"/>
    <col min="20" max="21" width="12.140625" bestFit="1" customWidth="1"/>
    <col min="22" max="22" width="11.7109375" bestFit="1" customWidth="1"/>
    <col min="23" max="23" width="10.85546875" bestFit="1" customWidth="1"/>
    <col min="24" max="24" width="11.85546875" bestFit="1" customWidth="1"/>
    <col min="25" max="25" width="11.7109375" bestFit="1" customWidth="1"/>
    <col min="26" max="26" width="11.42578125" bestFit="1" customWidth="1"/>
    <col min="27" max="27" width="12" bestFit="1" customWidth="1"/>
    <col min="28" max="28" width="11.7109375" bestFit="1" customWidth="1"/>
    <col min="29" max="29" width="11.28515625" bestFit="1" customWidth="1"/>
    <col min="30" max="30" width="11.7109375" bestFit="1" customWidth="1"/>
    <col min="31" max="31" width="11.85546875" bestFit="1" customWidth="1"/>
    <col min="32" max="32" width="11.5703125" bestFit="1" customWidth="1"/>
    <col min="33" max="33" width="13.28515625" customWidth="1"/>
  </cols>
  <sheetData>
    <row r="1" spans="2:33" x14ac:dyDescent="0.25">
      <c r="I1" s="6" t="s">
        <v>43</v>
      </c>
      <c r="J1" s="6" t="s">
        <v>22</v>
      </c>
      <c r="M1" s="6" t="s">
        <v>48</v>
      </c>
    </row>
    <row r="2" spans="2:33" ht="45" x14ac:dyDescent="0.25">
      <c r="B2" s="7" t="s">
        <v>33</v>
      </c>
      <c r="C2" s="7" t="s">
        <v>1</v>
      </c>
      <c r="D2" s="7" t="s">
        <v>32</v>
      </c>
      <c r="E2" s="7" t="s">
        <v>31</v>
      </c>
      <c r="F2" s="7" t="s">
        <v>21</v>
      </c>
      <c r="G2" s="7" t="s">
        <v>26</v>
      </c>
      <c r="H2" s="7" t="s">
        <v>3</v>
      </c>
      <c r="I2" s="7" t="s">
        <v>4</v>
      </c>
      <c r="J2" s="7" t="s">
        <v>23</v>
      </c>
      <c r="K2" s="7" t="s">
        <v>19</v>
      </c>
      <c r="L2" s="7" t="s">
        <v>44</v>
      </c>
      <c r="M2" s="7" t="s">
        <v>45</v>
      </c>
      <c r="N2" s="7" t="s">
        <v>20</v>
      </c>
      <c r="O2" s="7" t="s">
        <v>47</v>
      </c>
      <c r="P2" s="7" t="s">
        <v>50</v>
      </c>
      <c r="Q2" s="7" t="s">
        <v>18</v>
      </c>
      <c r="R2" s="7" t="s">
        <v>2</v>
      </c>
    </row>
    <row r="3" spans="2:33" x14ac:dyDescent="0.25">
      <c r="B3" t="s">
        <v>0</v>
      </c>
      <c r="C3" s="1">
        <v>67.12</v>
      </c>
      <c r="D3">
        <v>4</v>
      </c>
      <c r="E3">
        <v>2.1</v>
      </c>
      <c r="F3" s="5">
        <f>(D3*E3)/C3</f>
        <v>0.12514898688915374</v>
      </c>
      <c r="G3" s="37"/>
      <c r="H3" s="13">
        <v>0</v>
      </c>
      <c r="I3" s="1">
        <f>(FV(F3/D3,1*D3,0,-C3)-C3)*(H3+G3)</f>
        <v>0</v>
      </c>
      <c r="J3">
        <v>1.34</v>
      </c>
      <c r="K3" s="12">
        <f>Q3/$R$27</f>
        <v>0</v>
      </c>
      <c r="L3" s="12">
        <v>8.2199999999999995E-2</v>
      </c>
      <c r="M3" s="15">
        <f>(F3-$J$30)/L3</f>
        <v>1.4379438794300943</v>
      </c>
      <c r="N3" s="12">
        <f>I3/$R$27</f>
        <v>0</v>
      </c>
      <c r="O3" s="12">
        <f>K3*J3</f>
        <v>0</v>
      </c>
      <c r="P3" s="12">
        <f>K3*L3</f>
        <v>0</v>
      </c>
      <c r="Q3" s="2">
        <f>(H3*C3)+(G3*C3)</f>
        <v>0</v>
      </c>
      <c r="S3" s="16"/>
      <c r="T3" s="16"/>
      <c r="U3" s="16"/>
      <c r="V3" s="16"/>
    </row>
    <row r="4" spans="2:33" x14ac:dyDescent="0.25">
      <c r="B4" t="s">
        <v>5</v>
      </c>
      <c r="C4" s="1">
        <v>9.83</v>
      </c>
      <c r="D4">
        <v>4</v>
      </c>
      <c r="E4">
        <v>0.35</v>
      </c>
      <c r="F4" s="5">
        <f>(D4*E4)/C4</f>
        <v>0.14242115971515767</v>
      </c>
      <c r="G4" s="37"/>
      <c r="H4" s="13">
        <v>0</v>
      </c>
      <c r="I4" s="1">
        <f>(FV(F4/D4,1*D4,0,-C4)-C4)*(H4+G4)</f>
        <v>0</v>
      </c>
      <c r="J4">
        <v>1.27</v>
      </c>
      <c r="K4" s="12">
        <f>Q4/$R$27</f>
        <v>0</v>
      </c>
      <c r="L4" s="12">
        <v>6.2399999999999997E-2</v>
      </c>
      <c r="M4" s="15">
        <f>(F4-$J$30)/L4</f>
        <v>2.1710121749223985</v>
      </c>
      <c r="N4" s="12">
        <f>I4/$R$27</f>
        <v>0</v>
      </c>
      <c r="O4" s="12">
        <f t="shared" ref="O4:O26" si="0">K4*J4</f>
        <v>0</v>
      </c>
      <c r="P4" s="12">
        <f t="shared" ref="P4:P25" si="1">K4*L4</f>
        <v>0</v>
      </c>
      <c r="Q4" s="2">
        <f>(H4*C4)+(G4*C4)</f>
        <v>0</v>
      </c>
      <c r="R4" s="2"/>
      <c r="S4" s="16"/>
      <c r="T4" s="16"/>
      <c r="U4" s="16"/>
      <c r="V4" s="16"/>
    </row>
    <row r="5" spans="2:33" x14ac:dyDescent="0.25">
      <c r="B5" t="s">
        <v>6</v>
      </c>
      <c r="C5" s="1">
        <v>31.53</v>
      </c>
      <c r="D5">
        <v>4</v>
      </c>
      <c r="E5">
        <v>1</v>
      </c>
      <c r="F5" s="5">
        <f>(D5*E5)/C5</f>
        <v>0.12686330478908975</v>
      </c>
      <c r="G5" s="37"/>
      <c r="H5" s="13">
        <v>0</v>
      </c>
      <c r="I5" s="1">
        <f>(FV(F5/D5,1*D5,0,-C5)-C5)*(H5+G5)</f>
        <v>0</v>
      </c>
      <c r="J5">
        <v>1.53</v>
      </c>
      <c r="K5" s="12">
        <f>Q5/$R$27</f>
        <v>0</v>
      </c>
      <c r="L5" s="12">
        <v>5.16E-2</v>
      </c>
      <c r="M5" s="15">
        <f>(F5-$J$30)/L5</f>
        <v>2.3239012556025145</v>
      </c>
      <c r="N5" s="12">
        <f>I5/$R$27</f>
        <v>0</v>
      </c>
      <c r="O5" s="12">
        <f t="shared" si="0"/>
        <v>0</v>
      </c>
      <c r="P5" s="12">
        <f t="shared" si="1"/>
        <v>0</v>
      </c>
      <c r="Q5" s="2">
        <f>(H5*C5)+(G5*C5)</f>
        <v>0</v>
      </c>
      <c r="S5" s="16"/>
      <c r="T5" s="16"/>
      <c r="U5" s="16"/>
      <c r="V5" s="16"/>
    </row>
    <row r="6" spans="2:33" x14ac:dyDescent="0.25">
      <c r="B6" t="s">
        <v>7</v>
      </c>
      <c r="C6" s="1">
        <v>5.39</v>
      </c>
      <c r="D6">
        <v>12</v>
      </c>
      <c r="E6">
        <v>4.8000000000000001E-2</v>
      </c>
      <c r="F6" s="5">
        <f>(D6*E6)/C6</f>
        <v>0.10686456400742117</v>
      </c>
      <c r="G6" s="37"/>
      <c r="H6" s="13">
        <v>874</v>
      </c>
      <c r="I6" s="1">
        <f>(FV(F6/D6,1*D6,0,-C6)-C6)*(H6+G6)</f>
        <v>528.82832743471249</v>
      </c>
      <c r="J6">
        <v>0.91</v>
      </c>
      <c r="K6" s="12">
        <f>Q6/$R$27</f>
        <v>0.24998368238870727</v>
      </c>
      <c r="L6" s="12">
        <v>8.3999999999999995E-3</v>
      </c>
      <c r="M6" s="15">
        <f>(F6-$J$30)/L6</f>
        <v>11.894590953264427</v>
      </c>
      <c r="N6" s="12">
        <f>I6/$R$27</f>
        <v>2.806248808998579E-2</v>
      </c>
      <c r="O6" s="12">
        <f t="shared" si="0"/>
        <v>0.22748515097372363</v>
      </c>
      <c r="P6" s="12">
        <f t="shared" si="1"/>
        <v>2.0998629320651409E-3</v>
      </c>
      <c r="Q6" s="2">
        <f>(H6*C6)+(G6*C6)</f>
        <v>4710.8599999999997</v>
      </c>
      <c r="R6" s="2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</row>
    <row r="7" spans="2:33" x14ac:dyDescent="0.25">
      <c r="B7" t="s">
        <v>8</v>
      </c>
      <c r="C7" s="1">
        <v>4.9223999999999997</v>
      </c>
      <c r="D7">
        <v>12</v>
      </c>
      <c r="E7">
        <v>0.04</v>
      </c>
      <c r="F7" s="5">
        <f>(D7*E7)/C7</f>
        <v>9.7513408093612877E-2</v>
      </c>
      <c r="G7" s="37"/>
      <c r="H7" s="13">
        <v>0</v>
      </c>
      <c r="I7" s="1">
        <f>(FV(F7/D7,1*D7,0,-C7)-C7)*(H7+G7)</f>
        <v>0</v>
      </c>
      <c r="J7">
        <v>1.06</v>
      </c>
      <c r="K7" s="12">
        <f>Q7/$R$27</f>
        <v>0</v>
      </c>
      <c r="L7" s="12">
        <v>2.0400000000000001E-2</v>
      </c>
      <c r="M7" s="15">
        <f>(F7-$J$30)/L7</f>
        <v>4.4393827496869056</v>
      </c>
      <c r="N7" s="12">
        <f>I7/$R$27</f>
        <v>0</v>
      </c>
      <c r="O7" s="12">
        <f t="shared" si="0"/>
        <v>0</v>
      </c>
      <c r="P7" s="12">
        <f t="shared" si="1"/>
        <v>0</v>
      </c>
      <c r="Q7" s="2">
        <f>(H7*C7)+(G7*C7)</f>
        <v>0</v>
      </c>
      <c r="S7" s="16"/>
      <c r="T7" s="16"/>
      <c r="U7" s="16"/>
      <c r="V7" s="16"/>
    </row>
    <row r="8" spans="2:33" x14ac:dyDescent="0.25">
      <c r="B8" t="s">
        <v>9</v>
      </c>
      <c r="C8" s="1">
        <v>11.58</v>
      </c>
      <c r="D8">
        <v>12</v>
      </c>
      <c r="E8">
        <v>0.10199999999999999</v>
      </c>
      <c r="F8" s="5">
        <f>(D8*E8)/C8</f>
        <v>0.10569948186528497</v>
      </c>
      <c r="G8" s="37"/>
      <c r="H8" s="13">
        <v>204</v>
      </c>
      <c r="I8" s="1">
        <f>(FV(F8/D8,1*D8,0,-C8)-C8)*(H8+G8)</f>
        <v>262.15498069759269</v>
      </c>
      <c r="J8">
        <v>1.04</v>
      </c>
      <c r="K8" s="12">
        <f>Q8/$R$27</f>
        <v>0.12535746181811622</v>
      </c>
      <c r="L8" s="12">
        <v>9.5999999999999992E-3</v>
      </c>
      <c r="M8" s="15">
        <f>(F8-$J$30)/L8</f>
        <v>10.286404360967186</v>
      </c>
      <c r="N8" s="12">
        <f>I8/$R$27</f>
        <v>1.3911359588551707E-2</v>
      </c>
      <c r="O8" s="12">
        <f t="shared" si="0"/>
        <v>0.13037176029084088</v>
      </c>
      <c r="P8" s="12">
        <f t="shared" si="1"/>
        <v>1.2034316334539157E-3</v>
      </c>
      <c r="Q8" s="2">
        <f>(H8*C8)+(G8*C8)</f>
        <v>2362.3200000000002</v>
      </c>
      <c r="S8" s="16"/>
      <c r="T8" s="16"/>
      <c r="U8" s="16"/>
      <c r="V8" s="16"/>
    </row>
    <row r="9" spans="2:33" x14ac:dyDescent="0.25">
      <c r="B9" t="s">
        <v>10</v>
      </c>
      <c r="C9" s="1">
        <v>26.36</v>
      </c>
      <c r="D9">
        <v>4</v>
      </c>
      <c r="E9">
        <v>0.61899999999999999</v>
      </c>
      <c r="F9" s="5">
        <f>(D9*E9)/C9</f>
        <v>9.3930197268588769E-2</v>
      </c>
      <c r="G9" s="37"/>
      <c r="H9" s="13">
        <v>0</v>
      </c>
      <c r="I9" s="1">
        <f>(FV(F9/D9,1*D9,0,-C9)-C9)*(H9+G9)</f>
        <v>0</v>
      </c>
      <c r="J9">
        <v>0.69</v>
      </c>
      <c r="K9" s="12">
        <f>Q9/$R$27</f>
        <v>0</v>
      </c>
      <c r="L9" s="12">
        <v>5.16E-2</v>
      </c>
      <c r="M9" s="15">
        <f>(F9-$J$30)/L9</f>
        <v>1.6856627377633482</v>
      </c>
      <c r="N9" s="12">
        <f>I9/$R$27</f>
        <v>0</v>
      </c>
      <c r="O9" s="12">
        <f t="shared" si="0"/>
        <v>0</v>
      </c>
      <c r="P9" s="12">
        <f t="shared" si="1"/>
        <v>0</v>
      </c>
      <c r="Q9" s="2">
        <f>(H9*C9)+(G9*C9)</f>
        <v>0</v>
      </c>
      <c r="S9" s="16"/>
      <c r="T9" s="16"/>
      <c r="U9" s="16"/>
      <c r="V9" s="16"/>
    </row>
    <row r="10" spans="2:33" x14ac:dyDescent="0.25">
      <c r="B10" t="s">
        <v>11</v>
      </c>
      <c r="C10" s="1">
        <v>27.42</v>
      </c>
      <c r="D10">
        <v>4</v>
      </c>
      <c r="E10">
        <v>0.51</v>
      </c>
      <c r="F10" s="5">
        <f>(D10*E10)/C10</f>
        <v>7.4398249452954049E-2</v>
      </c>
      <c r="G10" s="37"/>
      <c r="H10" s="13">
        <v>0</v>
      </c>
      <c r="I10" s="1">
        <f>(FV(F10/D10,1*D10,0,-C10)-C10)*(H10+G10)</f>
        <v>0</v>
      </c>
      <c r="J10">
        <v>1.1599999999999999</v>
      </c>
      <c r="K10" s="12">
        <f>Q10/$R$27</f>
        <v>0</v>
      </c>
      <c r="L10" s="12">
        <v>3.85E-2</v>
      </c>
      <c r="M10" s="15">
        <f>(F10-$J$30)/L10</f>
        <v>1.7519025831936117</v>
      </c>
      <c r="N10" s="12">
        <f>I10/$R$27</f>
        <v>0</v>
      </c>
      <c r="O10" s="12">
        <f t="shared" si="0"/>
        <v>0</v>
      </c>
      <c r="P10" s="12">
        <f t="shared" si="1"/>
        <v>0</v>
      </c>
      <c r="Q10" s="2">
        <f>(H10*C10)+(G10*C10)</f>
        <v>0</v>
      </c>
      <c r="S10" s="16"/>
      <c r="T10" s="16"/>
      <c r="U10" s="16"/>
      <c r="V10" s="16"/>
    </row>
    <row r="11" spans="2:33" x14ac:dyDescent="0.25">
      <c r="B11" t="s">
        <v>12</v>
      </c>
      <c r="C11" s="1">
        <v>10.9</v>
      </c>
      <c r="D11">
        <v>4</v>
      </c>
      <c r="E11">
        <v>0.126</v>
      </c>
      <c r="F11" s="5">
        <f>(D11*E11)/C11</f>
        <v>4.623853211009174E-2</v>
      </c>
      <c r="G11" s="37"/>
      <c r="H11" s="13">
        <v>0</v>
      </c>
      <c r="I11" s="1">
        <f>(FV(F11/D11,1*D11,0,-C11)-C11)*(H11+G11)</f>
        <v>0</v>
      </c>
      <c r="J11">
        <v>1.04</v>
      </c>
      <c r="K11" s="12">
        <f>Q11/$R$27</f>
        <v>0</v>
      </c>
      <c r="L11" s="12">
        <v>3.78E-2</v>
      </c>
      <c r="M11" s="15">
        <f>(F11-$J$30)/L11</f>
        <v>1.0393791563516335</v>
      </c>
      <c r="N11" s="12">
        <f>I11/$R$27</f>
        <v>0</v>
      </c>
      <c r="O11" s="12">
        <f t="shared" si="0"/>
        <v>0</v>
      </c>
      <c r="P11" s="12">
        <f t="shared" si="1"/>
        <v>0</v>
      </c>
      <c r="Q11" s="2">
        <f>(H11*C11)+(G11*C11)</f>
        <v>0</v>
      </c>
      <c r="S11" s="16"/>
      <c r="T11" s="16"/>
      <c r="U11" s="16"/>
      <c r="V11" s="16"/>
    </row>
    <row r="12" spans="2:33" x14ac:dyDescent="0.25">
      <c r="B12" t="s">
        <v>13</v>
      </c>
      <c r="C12" s="1">
        <v>30.18</v>
      </c>
      <c r="D12">
        <v>4</v>
      </c>
      <c r="E12">
        <v>0.52</v>
      </c>
      <c r="F12" s="5">
        <f>(D12*E12)/C12</f>
        <v>6.8919814446653418E-2</v>
      </c>
      <c r="G12" s="37"/>
      <c r="H12" s="13">
        <v>0</v>
      </c>
      <c r="I12" s="1">
        <f>(FV(F12/D12,1*D12,0,-C12)-C12)*(H12+G12)</f>
        <v>0</v>
      </c>
      <c r="J12">
        <v>0.72</v>
      </c>
      <c r="K12" s="12">
        <f>Q12/$R$27</f>
        <v>0</v>
      </c>
      <c r="L12" s="12">
        <v>2.5700000000000001E-2</v>
      </c>
      <c r="M12" s="15">
        <f>(F12-$J$30)/L12</f>
        <v>2.4112768267180318</v>
      </c>
      <c r="N12" s="12">
        <f>I12/$R$27</f>
        <v>0</v>
      </c>
      <c r="O12" s="12">
        <f t="shared" si="0"/>
        <v>0</v>
      </c>
      <c r="P12" s="12">
        <f t="shared" si="1"/>
        <v>0</v>
      </c>
      <c r="Q12" s="2">
        <f>(H12*C12)+(G12*C12)</f>
        <v>0</v>
      </c>
      <c r="S12" s="16"/>
      <c r="T12" s="16"/>
      <c r="U12" s="16"/>
      <c r="V12" s="16"/>
    </row>
    <row r="13" spans="2:33" x14ac:dyDescent="0.25">
      <c r="B13" t="s">
        <v>14</v>
      </c>
      <c r="C13" s="1">
        <v>311.14</v>
      </c>
      <c r="D13">
        <v>4</v>
      </c>
      <c r="E13">
        <v>3.25</v>
      </c>
      <c r="F13" s="5">
        <f>(D13*E13)/C13</f>
        <v>4.1781834543935206E-2</v>
      </c>
      <c r="G13" s="37"/>
      <c r="H13" s="13">
        <v>0</v>
      </c>
      <c r="I13" s="1">
        <f>(FV(F13/D13,1*D13,0,-C13)-C13)*(H13+G13)</f>
        <v>0</v>
      </c>
      <c r="J13">
        <v>0.91</v>
      </c>
      <c r="K13" s="12">
        <f>Q13/$R$27</f>
        <v>0</v>
      </c>
      <c r="L13" s="12">
        <v>5.2600000000000001E-2</v>
      </c>
      <c r="M13" s="15">
        <f>(F13-$J$30)/L13</f>
        <v>0.66220217764135381</v>
      </c>
      <c r="N13" s="12">
        <f>I13/$R$27</f>
        <v>0</v>
      </c>
      <c r="O13" s="12">
        <f t="shared" si="0"/>
        <v>0</v>
      </c>
      <c r="P13" s="12">
        <f t="shared" si="1"/>
        <v>0</v>
      </c>
      <c r="Q13" s="2">
        <f>(H13*C13)+(G13*C13)</f>
        <v>0</v>
      </c>
      <c r="S13" s="16"/>
      <c r="T13" s="16"/>
      <c r="U13" s="16"/>
      <c r="V13" s="16"/>
    </row>
    <row r="14" spans="2:33" x14ac:dyDescent="0.25">
      <c r="B14" t="s">
        <v>15</v>
      </c>
      <c r="C14" s="1">
        <v>123.43</v>
      </c>
      <c r="D14">
        <v>4</v>
      </c>
      <c r="E14">
        <v>1.63</v>
      </c>
      <c r="F14" s="5">
        <f>(D14*E14)/C14</f>
        <v>5.2823462691404026E-2</v>
      </c>
      <c r="G14" s="37"/>
      <c r="H14" s="13">
        <v>0</v>
      </c>
      <c r="I14" s="1">
        <f>(FV(F14/D14,1*D14,0,-C14)-C14)*(H14+G14)</f>
        <v>0</v>
      </c>
      <c r="J14">
        <v>1.23</v>
      </c>
      <c r="K14" s="12">
        <f>Q14/$R$27</f>
        <v>0</v>
      </c>
      <c r="L14" s="12">
        <v>3.7400000000000003E-2</v>
      </c>
      <c r="M14" s="15">
        <f>(F14-$J$30)/L14</f>
        <v>1.2265631735669524</v>
      </c>
      <c r="N14" s="12">
        <f>I14/$R$27</f>
        <v>0</v>
      </c>
      <c r="O14" s="12">
        <f t="shared" si="0"/>
        <v>0</v>
      </c>
      <c r="P14" s="12">
        <f t="shared" si="1"/>
        <v>0</v>
      </c>
      <c r="Q14" s="2">
        <f>(H14*C14)+(G14*C14)</f>
        <v>0</v>
      </c>
      <c r="S14" s="16"/>
      <c r="T14" s="16"/>
      <c r="U14" s="16"/>
      <c r="V14" s="16"/>
    </row>
    <row r="15" spans="2:33" x14ac:dyDescent="0.25">
      <c r="B15" t="s">
        <v>16</v>
      </c>
      <c r="C15" s="1">
        <v>63.39</v>
      </c>
      <c r="D15">
        <v>4</v>
      </c>
      <c r="E15">
        <v>1.1000000000000001</v>
      </c>
      <c r="F15" s="5">
        <f>(D15*E15)/C15</f>
        <v>6.941157911342484E-2</v>
      </c>
      <c r="G15" s="37"/>
      <c r="H15" s="13">
        <v>0</v>
      </c>
      <c r="I15" s="1">
        <f>(FV(F15/D15,1*D15,0,-C15)-C15)*(H15+G15)</f>
        <v>0</v>
      </c>
      <c r="J15">
        <v>1.71</v>
      </c>
      <c r="K15" s="12">
        <f>Q15/$R$27</f>
        <v>0</v>
      </c>
      <c r="L15" s="12">
        <v>5.28E-2</v>
      </c>
      <c r="M15" s="15">
        <f>(F15-$J$30)/L15</f>
        <v>1.1829844529057736</v>
      </c>
      <c r="N15" s="12">
        <f>I15/$R$27</f>
        <v>0</v>
      </c>
      <c r="O15" s="12">
        <f t="shared" si="0"/>
        <v>0</v>
      </c>
      <c r="P15" s="12">
        <f t="shared" si="1"/>
        <v>0</v>
      </c>
      <c r="Q15" s="2">
        <f>(H15*C15)+(G15*C15)</f>
        <v>0</v>
      </c>
      <c r="S15" s="16"/>
      <c r="T15" s="16"/>
      <c r="U15" s="16"/>
      <c r="V15" s="16"/>
    </row>
    <row r="16" spans="2:33" x14ac:dyDescent="0.25">
      <c r="B16" t="s">
        <v>28</v>
      </c>
      <c r="C16" s="1">
        <v>7.6</v>
      </c>
      <c r="D16">
        <v>4</v>
      </c>
      <c r="E16">
        <v>0.4</v>
      </c>
      <c r="F16" s="5">
        <f>(D16*E16)/C16</f>
        <v>0.2105263157894737</v>
      </c>
      <c r="G16" s="37"/>
      <c r="H16" s="13">
        <v>619</v>
      </c>
      <c r="I16" s="1">
        <f>(FV(F16/D16,1*D16,0,-C16)-C16)*(H16+G16)</f>
        <v>1071.3690625455592</v>
      </c>
      <c r="J16">
        <v>0.28000000000000003</v>
      </c>
      <c r="K16" s="12">
        <f>Q16/$R$27</f>
        <v>0.24964087988805322</v>
      </c>
      <c r="L16" s="12">
        <v>4.24E-2</v>
      </c>
      <c r="M16" s="15">
        <f>(F16-$J$30)/L16</f>
        <v>4.8013282025819262</v>
      </c>
      <c r="N16" s="12">
        <f>I16/$R$27</f>
        <v>5.6852630613619629E-2</v>
      </c>
      <c r="O16" s="12">
        <f>K16*J16</f>
        <v>6.9899446368654916E-2</v>
      </c>
      <c r="P16" s="12">
        <f>K16*L16</f>
        <v>1.0584773307253457E-2</v>
      </c>
      <c r="Q16" s="2">
        <f>(H16*C16)+(G16*C16)</f>
        <v>4704.3999999999996</v>
      </c>
      <c r="S16" s="16"/>
      <c r="T16" s="16"/>
      <c r="U16" s="16"/>
      <c r="V16" s="16"/>
    </row>
    <row r="17" spans="2:29" x14ac:dyDescent="0.25">
      <c r="B17" t="s">
        <v>17</v>
      </c>
      <c r="C17" s="1">
        <v>25.4</v>
      </c>
      <c r="D17">
        <v>4</v>
      </c>
      <c r="E17">
        <v>0.29699999999999999</v>
      </c>
      <c r="F17" s="5">
        <f>(D17*E17)/C17</f>
        <v>4.677165354330709E-2</v>
      </c>
      <c r="G17" s="37"/>
      <c r="H17" s="13">
        <v>0</v>
      </c>
      <c r="I17" s="1">
        <f>(FV(F17/D17,1*D17,0,-C17)-C17)*(H17+G17)</f>
        <v>0</v>
      </c>
      <c r="J17">
        <v>1.04</v>
      </c>
      <c r="K17" s="12">
        <f>Q17/$R$27</f>
        <v>0</v>
      </c>
      <c r="L17" s="12">
        <v>2.1899999999999999E-2</v>
      </c>
      <c r="M17" s="15">
        <f>(F17-$J$30)/L17</f>
        <v>1.8183403444432462</v>
      </c>
      <c r="N17" s="12">
        <f>I17/$R$27</f>
        <v>0</v>
      </c>
      <c r="O17" s="12">
        <f t="shared" si="0"/>
        <v>0</v>
      </c>
      <c r="P17" s="12">
        <f t="shared" si="1"/>
        <v>0</v>
      </c>
      <c r="Q17" s="2">
        <f>(H17*C17)+(G17*C17)</f>
        <v>0</v>
      </c>
      <c r="S17" s="16"/>
      <c r="T17" s="16"/>
      <c r="U17" s="16"/>
      <c r="V17" s="16"/>
    </row>
    <row r="18" spans="2:29" x14ac:dyDescent="0.25">
      <c r="B18" t="s">
        <v>36</v>
      </c>
      <c r="C18" s="1">
        <v>37.74</v>
      </c>
      <c r="D18">
        <v>12</v>
      </c>
      <c r="E18">
        <v>0.19</v>
      </c>
      <c r="F18" s="5">
        <f>(D18*E18)/C18</f>
        <v>6.0413354531001592E-2</v>
      </c>
      <c r="G18" s="37"/>
      <c r="H18" s="13">
        <v>0</v>
      </c>
      <c r="I18" s="1">
        <f>(FV(F18/D18,1*D18,0,-C18)-C18)*(H18+G18)</f>
        <v>0</v>
      </c>
      <c r="J18">
        <v>0.84</v>
      </c>
      <c r="K18" s="12">
        <f>Q18/$R$27</f>
        <v>0</v>
      </c>
      <c r="L18" s="12">
        <v>6.2199999999999998E-2</v>
      </c>
      <c r="M18" s="15">
        <f>(F18-$J$30)/L18</f>
        <v>0.85953946191320896</v>
      </c>
      <c r="N18" s="12">
        <f>I18/$R$27</f>
        <v>0</v>
      </c>
      <c r="O18" s="12">
        <f t="shared" si="0"/>
        <v>0</v>
      </c>
      <c r="P18" s="12">
        <f t="shared" si="1"/>
        <v>0</v>
      </c>
      <c r="Q18" s="2">
        <f>(H18*C18)+(G18*C18)</f>
        <v>0</v>
      </c>
      <c r="S18" s="16"/>
      <c r="T18" s="16"/>
      <c r="U18" s="16"/>
      <c r="V18" s="16"/>
    </row>
    <row r="19" spans="2:29" x14ac:dyDescent="0.25">
      <c r="B19" t="s">
        <v>37</v>
      </c>
      <c r="C19" s="1">
        <v>10.1</v>
      </c>
      <c r="D19">
        <v>4</v>
      </c>
      <c r="E19">
        <v>0.45</v>
      </c>
      <c r="F19" s="5">
        <f>(D19*E19)/C19</f>
        <v>0.17821782178217824</v>
      </c>
      <c r="G19" s="38"/>
      <c r="H19" s="13">
        <v>7</v>
      </c>
      <c r="I19" s="23">
        <f>(FV(F19/D19,1*D19,0,-C19)-C19)*(H19+G19)</f>
        <v>13.467370063457192</v>
      </c>
      <c r="J19">
        <v>1.85</v>
      </c>
      <c r="K19" s="12">
        <f>Q19/$R$27</f>
        <v>3.7517239622662539E-3</v>
      </c>
      <c r="L19" s="12">
        <v>5.1499999999999997E-2</v>
      </c>
      <c r="M19" s="15">
        <f>(F19-$J$30)/L19</f>
        <v>3.3255887724694801</v>
      </c>
      <c r="N19" s="12">
        <f>I19/$R$27</f>
        <v>7.1465141408457637E-4</v>
      </c>
      <c r="O19" s="12">
        <f t="shared" si="0"/>
        <v>6.9406893301925702E-3</v>
      </c>
      <c r="P19" s="12">
        <f t="shared" si="1"/>
        <v>1.9321378405671207E-4</v>
      </c>
      <c r="Q19" s="2">
        <f>(H19*C19)+(G19*C19)</f>
        <v>70.7</v>
      </c>
      <c r="S19" s="16"/>
      <c r="T19" s="16"/>
      <c r="U19" s="16"/>
      <c r="V19" s="16"/>
    </row>
    <row r="20" spans="2:29" x14ac:dyDescent="0.25">
      <c r="B20" t="s">
        <v>38</v>
      </c>
      <c r="C20" s="1">
        <v>6.88</v>
      </c>
      <c r="D20">
        <v>4</v>
      </c>
      <c r="E20">
        <v>0.378</v>
      </c>
      <c r="F20" s="5">
        <f>(D20*E20)/C20</f>
        <v>0.21976744186046512</v>
      </c>
      <c r="G20" s="37"/>
      <c r="H20" s="13">
        <v>310</v>
      </c>
      <c r="I20" s="1">
        <f>(FV(F20/D20,1*D20,0,-C20)-C20)*(H20+G20)</f>
        <v>508.78283927403243</v>
      </c>
      <c r="J20">
        <v>1.6</v>
      </c>
      <c r="K20" s="12">
        <f>Q20/$R$27</f>
        <v>0.1131778906184083</v>
      </c>
      <c r="L20" s="12">
        <v>8.8200000000000001E-2</v>
      </c>
      <c r="M20" s="15">
        <f>(F20-$J$30)/L20</f>
        <v>2.4128961662184252</v>
      </c>
      <c r="N20" s="12">
        <f>I20/$R$27</f>
        <v>2.6998766190866302E-2</v>
      </c>
      <c r="O20" s="12">
        <f t="shared" si="0"/>
        <v>0.1810846249894533</v>
      </c>
      <c r="P20" s="12">
        <f t="shared" si="1"/>
        <v>9.9822899525436118E-3</v>
      </c>
      <c r="Q20" s="2">
        <f>(H20*C20)+(G20*C20)</f>
        <v>2132.8000000000002</v>
      </c>
      <c r="S20" s="16"/>
      <c r="T20" s="16"/>
      <c r="U20" s="16"/>
      <c r="V20" s="16"/>
    </row>
    <row r="21" spans="2:29" x14ac:dyDescent="0.25">
      <c r="B21" t="s">
        <v>41</v>
      </c>
      <c r="C21" s="1">
        <v>6.19</v>
      </c>
      <c r="D21">
        <v>12</v>
      </c>
      <c r="E21">
        <v>3.4000000000000002E-2</v>
      </c>
      <c r="F21" s="5">
        <f>(D21*E21)/C21</f>
        <v>6.591276252019386E-2</v>
      </c>
      <c r="G21" s="37"/>
      <c r="H21" s="13">
        <v>1</v>
      </c>
      <c r="I21" s="1">
        <f>(FV(F21/D21,1*D21,0,-C21)-C21)*(H21+G21)</f>
        <v>0.42055417249946103</v>
      </c>
      <c r="J21">
        <v>0.17</v>
      </c>
      <c r="K21" s="12">
        <f>Q21/$R$27</f>
        <v>3.2847484195796481E-4</v>
      </c>
      <c r="L21" s="12">
        <v>3.2000000000000002E-3</v>
      </c>
      <c r="M21" s="15">
        <f>(F21-$J$30)/L21</f>
        <v>18.425863287560581</v>
      </c>
      <c r="N21" s="12">
        <f>I21/$R$27</f>
        <v>2.2316876469551394E-5</v>
      </c>
      <c r="O21" s="12">
        <f t="shared" si="0"/>
        <v>5.5840723132854019E-5</v>
      </c>
      <c r="P21" s="12">
        <f t="shared" si="1"/>
        <v>1.0511194942654874E-6</v>
      </c>
      <c r="Q21" s="2">
        <f>(H21*C21)+(G21*C21)</f>
        <v>6.19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</row>
    <row r="22" spans="2:29" x14ac:dyDescent="0.25">
      <c r="B22" t="s">
        <v>42</v>
      </c>
      <c r="C22" s="1">
        <v>3.82</v>
      </c>
      <c r="D22">
        <v>12</v>
      </c>
      <c r="E22">
        <v>2.8000000000000001E-2</v>
      </c>
      <c r="F22" s="5">
        <f>(D22*E22)/C22</f>
        <v>8.7958115183246088E-2</v>
      </c>
      <c r="G22" s="37"/>
      <c r="H22" s="13">
        <v>1232</v>
      </c>
      <c r="I22" s="1">
        <f>(FV(F22/D22,1*D22,0,-C22)-C22)*(H22+G22)</f>
        <v>431.05465888211546</v>
      </c>
      <c r="J22">
        <v>0.13</v>
      </c>
      <c r="K22" s="12">
        <f>Q22/$R$27</f>
        <v>0.24973852022879681</v>
      </c>
      <c r="L22" s="12">
        <v>7.9000000000000008E-3</v>
      </c>
      <c r="M22" s="15">
        <f>(F22-$J$30)/L22</f>
        <v>10.254191795347605</v>
      </c>
      <c r="N22" s="12">
        <f>I22/$R$27</f>
        <v>2.2874089006712003E-2</v>
      </c>
      <c r="O22" s="12">
        <f t="shared" si="0"/>
        <v>3.2466007629743589E-2</v>
      </c>
      <c r="P22" s="12">
        <f t="shared" si="1"/>
        <v>1.9729343098074952E-3</v>
      </c>
      <c r="Q22" s="2">
        <f>(H22*C22)+(G22*C22)</f>
        <v>4706.24</v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</row>
    <row r="23" spans="2:29" x14ac:dyDescent="0.25">
      <c r="B23" t="s">
        <v>40</v>
      </c>
      <c r="C23" s="1">
        <v>24.36</v>
      </c>
      <c r="D23">
        <v>4</v>
      </c>
      <c r="E23">
        <v>0.47499999999999998</v>
      </c>
      <c r="F23" s="5">
        <f>(D23*E23)/C23</f>
        <v>7.7996715927750412E-2</v>
      </c>
      <c r="G23" s="37"/>
      <c r="H23" s="13">
        <v>0</v>
      </c>
      <c r="I23" s="1">
        <f>(FV(F23/D23,1*D23,0,-C23)-C23)*(H23+G23)</f>
        <v>0</v>
      </c>
      <c r="J23">
        <v>0.27</v>
      </c>
      <c r="K23" s="12">
        <f>Q23/$R$27</f>
        <v>0</v>
      </c>
      <c r="L23" s="12">
        <v>1.9E-2</v>
      </c>
      <c r="M23" s="15">
        <f>(F23-$J$30)/L23</f>
        <v>3.7393008383026536</v>
      </c>
      <c r="N23" s="12">
        <f>I23/$R$27</f>
        <v>0</v>
      </c>
      <c r="O23" s="12">
        <f t="shared" si="0"/>
        <v>0</v>
      </c>
      <c r="P23" s="12">
        <f t="shared" si="1"/>
        <v>0</v>
      </c>
      <c r="Q23" s="2">
        <f>(H23*C23)+(G23*C23)</f>
        <v>0</v>
      </c>
      <c r="S23" s="16"/>
      <c r="T23" s="16"/>
      <c r="U23" s="16"/>
      <c r="V23" s="16"/>
    </row>
    <row r="24" spans="2:29" x14ac:dyDescent="0.25">
      <c r="B24" t="s">
        <v>35</v>
      </c>
      <c r="C24" s="1">
        <v>16.68</v>
      </c>
      <c r="D24">
        <v>4</v>
      </c>
      <c r="E24">
        <v>0.43</v>
      </c>
      <c r="F24" s="5">
        <f>(D24*E24)/C24</f>
        <v>0.10311750599520383</v>
      </c>
      <c r="G24" s="37"/>
      <c r="H24" s="13">
        <v>0</v>
      </c>
      <c r="I24" s="1">
        <f>(FV(F24/D24,1*D24,0,-C24)-C24)*(H24+G24)</f>
        <v>0</v>
      </c>
      <c r="J24">
        <v>1.5</v>
      </c>
      <c r="K24" s="12">
        <f>Q24/$R$27</f>
        <v>0</v>
      </c>
      <c r="L24" s="12">
        <v>4.48E-2</v>
      </c>
      <c r="M24" s="15">
        <f>(F24-$J$30)/L24</f>
        <v>2.1465961159643712</v>
      </c>
      <c r="N24" s="12">
        <f>I24/$R$27</f>
        <v>0</v>
      </c>
      <c r="O24" s="12">
        <f t="shared" si="0"/>
        <v>0</v>
      </c>
      <c r="P24" s="12">
        <f t="shared" si="1"/>
        <v>0</v>
      </c>
      <c r="Q24" s="2">
        <f>(H24*C24)+(G24*C24)</f>
        <v>0</v>
      </c>
      <c r="S24" s="16"/>
      <c r="T24" s="16"/>
      <c r="U24" s="16"/>
      <c r="V24" s="16"/>
    </row>
    <row r="25" spans="2:29" x14ac:dyDescent="0.25">
      <c r="B25" t="s">
        <v>34</v>
      </c>
      <c r="C25" s="1">
        <v>11.94</v>
      </c>
      <c r="D25">
        <v>4</v>
      </c>
      <c r="E25">
        <v>0.311</v>
      </c>
      <c r="F25" s="5">
        <f>(D25*E25)/C25</f>
        <v>0.10418760469011726</v>
      </c>
      <c r="G25" s="37"/>
      <c r="H25" s="13">
        <v>0</v>
      </c>
      <c r="I25" s="1">
        <f>(FV(F25/D25,1*D25,0,-C25)-C25)*(H25+G25)</f>
        <v>0</v>
      </c>
      <c r="J25">
        <v>3.83</v>
      </c>
      <c r="K25" s="12">
        <f>Q25/$R$27</f>
        <v>0</v>
      </c>
      <c r="L25" s="12">
        <v>7.8299999999999995E-2</v>
      </c>
      <c r="M25" s="15">
        <f>(F25-$J$30)/L25</f>
        <v>1.2418595745864274</v>
      </c>
      <c r="N25" s="12">
        <f>I25/$R$27</f>
        <v>0</v>
      </c>
      <c r="O25" s="12">
        <f t="shared" si="0"/>
        <v>0</v>
      </c>
      <c r="P25" s="12">
        <f t="shared" si="1"/>
        <v>0</v>
      </c>
      <c r="Q25" s="2">
        <f>(H25*C25)+(G25*C25)</f>
        <v>0</v>
      </c>
      <c r="S25" s="16"/>
      <c r="T25" s="16"/>
      <c r="U25" s="16"/>
      <c r="V25" s="16"/>
    </row>
    <row r="26" spans="2:29" x14ac:dyDescent="0.25">
      <c r="B26" t="s">
        <v>27</v>
      </c>
      <c r="C26" s="1">
        <v>9.1199999999999992</v>
      </c>
      <c r="D26">
        <v>4</v>
      </c>
      <c r="E26">
        <v>0.33</v>
      </c>
      <c r="F26" s="5">
        <f>(D26*E26)/C26</f>
        <v>0.14473684210526316</v>
      </c>
      <c r="G26" s="37"/>
      <c r="H26" s="13">
        <v>0</v>
      </c>
      <c r="I26" s="1">
        <f>(FV(F26/D26,1*D26,0,-C26)-C26)*(H26+G26)</f>
        <v>0</v>
      </c>
      <c r="J26">
        <v>1.23</v>
      </c>
      <c r="K26" s="12">
        <f>Q26/$R$27</f>
        <v>0</v>
      </c>
      <c r="L26" s="12">
        <v>5.8900000000000001E-2</v>
      </c>
      <c r="M26" s="15">
        <f>(F26-$J$30)/L26</f>
        <v>2.3393351800554014</v>
      </c>
      <c r="N26" s="12">
        <f>I26/$R$27</f>
        <v>0</v>
      </c>
      <c r="O26" s="12">
        <f t="shared" si="0"/>
        <v>0</v>
      </c>
      <c r="P26" s="12">
        <f>K26*L26</f>
        <v>0</v>
      </c>
      <c r="Q26" s="2">
        <f>(H26*C26)+(G26*C26)</f>
        <v>0</v>
      </c>
      <c r="S26" s="16"/>
      <c r="T26" s="16"/>
      <c r="U26" s="16"/>
      <c r="V26" s="16"/>
    </row>
    <row r="27" spans="2:29" x14ac:dyDescent="0.25">
      <c r="B27" s="8"/>
      <c r="C27" s="8"/>
      <c r="D27" s="8"/>
      <c r="E27" s="8"/>
      <c r="F27" s="8"/>
      <c r="G27" s="8"/>
      <c r="H27" s="8"/>
      <c r="I27" s="4">
        <f>SUM(I3:I26)</f>
        <v>2816.0777930699687</v>
      </c>
      <c r="J27" s="4"/>
      <c r="K27" s="9">
        <f>SUM(K3:K26)</f>
        <v>0.99197863374630613</v>
      </c>
      <c r="L27" s="14"/>
      <c r="M27" s="4"/>
      <c r="N27" s="11">
        <f>SUM(N3:N26)</f>
        <v>0.14943630178028958</v>
      </c>
      <c r="O27" s="10">
        <f>SUM(O3:O26)</f>
        <v>0.64830352030574179</v>
      </c>
      <c r="P27" s="10">
        <f>SUM(P3:P26)</f>
        <v>2.6037557038674598E-2</v>
      </c>
      <c r="Q27" s="8"/>
      <c r="R27" s="3">
        <v>18844.669999999998</v>
      </c>
    </row>
    <row r="28" spans="2:29" ht="15.75" thickBot="1" x14ac:dyDescent="0.3"/>
    <row r="29" spans="2:29" ht="31.5" customHeight="1" thickBot="1" x14ac:dyDescent="0.3">
      <c r="J29" s="26" t="s">
        <v>46</v>
      </c>
      <c r="K29" s="25" t="s">
        <v>30</v>
      </c>
      <c r="N29" s="32" t="s">
        <v>80</v>
      </c>
      <c r="O29" s="24" t="s">
        <v>39</v>
      </c>
      <c r="Q29" s="27" t="s">
        <v>49</v>
      </c>
      <c r="R29" s="33">
        <f>((N27-J30)/P27)/10</f>
        <v>0.54723375763958626</v>
      </c>
    </row>
    <row r="30" spans="2:29" ht="15.75" thickBot="1" x14ac:dyDescent="0.3">
      <c r="J30" s="30">
        <v>6.9499999999999996E-3</v>
      </c>
      <c r="K30" s="31">
        <v>0.25</v>
      </c>
      <c r="N30" s="31">
        <v>0.15</v>
      </c>
      <c r="O30" s="31">
        <v>1</v>
      </c>
      <c r="Q30" s="28" t="s">
        <v>25</v>
      </c>
      <c r="R30" s="34">
        <f>SUM(Q3:Q26)</f>
        <v>18693.510000000002</v>
      </c>
    </row>
    <row r="31" spans="2:29" x14ac:dyDescent="0.25">
      <c r="Q31" s="28" t="s">
        <v>24</v>
      </c>
      <c r="R31" s="35">
        <f>O27</f>
        <v>0.64830352030574179</v>
      </c>
    </row>
    <row r="32" spans="2:29" ht="15.75" thickBot="1" x14ac:dyDescent="0.3">
      <c r="Q32" s="29" t="s">
        <v>81</v>
      </c>
      <c r="R32" s="36">
        <f>(N27-J30)/(O27)</f>
        <v>0.21978332265277939</v>
      </c>
    </row>
    <row r="33" spans="10:18" ht="30.75" customHeight="1" x14ac:dyDescent="0.25"/>
    <row r="34" spans="10:18" ht="15.75" thickBot="1" x14ac:dyDescent="0.3">
      <c r="J34" s="2"/>
    </row>
    <row r="35" spans="10:18" ht="15.75" thickBot="1" x14ac:dyDescent="0.3">
      <c r="Q35" s="39" t="s">
        <v>29</v>
      </c>
      <c r="R35" s="40">
        <f>R29+R32</f>
        <v>0.7670170802923657</v>
      </c>
    </row>
    <row r="38" spans="10:18" x14ac:dyDescent="0.25">
      <c r="K38" s="2"/>
    </row>
  </sheetData>
  <conditionalFormatting sqref="N3:Q3 C3:G20 I26:J26 J25 N26 C23:G26 C21:E22 I3:J24 N4:N24 O4:Q26">
    <cfRule type="expression" dxfId="4" priority="21">
      <formula>$I3&gt;0</formula>
    </cfRule>
  </conditionalFormatting>
  <conditionalFormatting sqref="I25">
    <cfRule type="expression" dxfId="3" priority="20">
      <formula>$I25&gt;0</formula>
    </cfRule>
  </conditionalFormatting>
  <conditionalFormatting sqref="N25">
    <cfRule type="expression" dxfId="2" priority="18">
      <formula>$I25&gt;0</formula>
    </cfRule>
  </conditionalFormatting>
  <conditionalFormatting sqref="F21:G21">
    <cfRule type="expression" dxfId="1" priority="6">
      <formula>$I21&gt;0</formula>
    </cfRule>
  </conditionalFormatting>
  <conditionalFormatting sqref="F22:G22">
    <cfRule type="expression" dxfId="0" priority="4">
      <formula>$I22&gt;0</formula>
    </cfRule>
  </conditionalFormatting>
  <conditionalFormatting sqref="K3:K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J1" r:id="rId1" xr:uid="{9F064153-3668-4857-AEFE-2FD86211427D}"/>
    <hyperlink ref="I1" r:id="rId2" xr:uid="{EF20F1E9-70D8-426C-8DF0-0D1CAB6291F8}"/>
    <hyperlink ref="M1" r:id="rId3" xr:uid="{385FE2E8-D7B8-4DFB-BDFD-BAB946A19778}"/>
  </hyperlinks>
  <pageMargins left="0.7" right="0.7" top="0.75" bottom="0.75" header="0.3" footer="0.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58E98-F350-4B60-B6AF-86269161EA2F}">
  <sheetPr codeName="Sheet2"/>
  <dimension ref="B4:AD32"/>
  <sheetViews>
    <sheetView workbookViewId="0">
      <selection activeCell="G30" sqref="G30"/>
    </sheetView>
  </sheetViews>
  <sheetFormatPr defaultRowHeight="16.5" customHeight="1" x14ac:dyDescent="0.25"/>
  <sheetData>
    <row r="4" spans="2:30" ht="16.5" customHeight="1" thickBot="1" x14ac:dyDescent="0.3">
      <c r="B4" t="s">
        <v>51</v>
      </c>
      <c r="C4" t="s">
        <v>33</v>
      </c>
      <c r="D4" t="s">
        <v>0</v>
      </c>
      <c r="E4" t="s">
        <v>5</v>
      </c>
      <c r="F4" t="s">
        <v>6</v>
      </c>
      <c r="G4" t="s">
        <v>7</v>
      </c>
      <c r="H4" t="s">
        <v>8</v>
      </c>
      <c r="I4" t="s">
        <v>9</v>
      </c>
      <c r="J4" t="s">
        <v>10</v>
      </c>
      <c r="K4" t="s">
        <v>11</v>
      </c>
      <c r="L4" t="s">
        <v>13</v>
      </c>
      <c r="M4" t="s">
        <v>14</v>
      </c>
      <c r="N4" t="s">
        <v>15</v>
      </c>
      <c r="O4" t="s">
        <v>16</v>
      </c>
      <c r="P4" t="s">
        <v>28</v>
      </c>
      <c r="Q4" t="s">
        <v>17</v>
      </c>
      <c r="R4" t="s">
        <v>36</v>
      </c>
      <c r="S4" t="s">
        <v>37</v>
      </c>
      <c r="T4" t="s">
        <v>38</v>
      </c>
      <c r="U4" t="s">
        <v>41</v>
      </c>
      <c r="V4" t="s">
        <v>42</v>
      </c>
      <c r="W4" t="s">
        <v>40</v>
      </c>
      <c r="X4" t="s">
        <v>35</v>
      </c>
      <c r="Y4" t="s">
        <v>34</v>
      </c>
      <c r="Z4" t="s">
        <v>27</v>
      </c>
      <c r="AA4" t="s">
        <v>52</v>
      </c>
      <c r="AB4" t="s">
        <v>53</v>
      </c>
      <c r="AC4" t="s">
        <v>54</v>
      </c>
      <c r="AD4" t="s">
        <v>55</v>
      </c>
    </row>
    <row r="5" spans="2:30" ht="16.5" customHeight="1" thickBot="1" x14ac:dyDescent="0.3">
      <c r="B5" s="17" t="s">
        <v>56</v>
      </c>
      <c r="C5" s="17" t="s">
        <v>0</v>
      </c>
      <c r="D5" s="18" t="s">
        <v>57</v>
      </c>
      <c r="E5" s="18">
        <v>-0.11</v>
      </c>
      <c r="F5" s="18">
        <v>0.25</v>
      </c>
      <c r="G5" s="18">
        <v>-0.26</v>
      </c>
      <c r="H5" s="18">
        <v>-0.35</v>
      </c>
      <c r="I5" s="18">
        <v>-0.56000000000000005</v>
      </c>
      <c r="J5" s="18">
        <v>0.37</v>
      </c>
      <c r="K5" s="18">
        <v>0.11</v>
      </c>
      <c r="L5" s="18">
        <v>-0.43</v>
      </c>
      <c r="M5" s="18">
        <v>0.68</v>
      </c>
      <c r="N5" s="18">
        <v>-0.6</v>
      </c>
      <c r="O5" s="18">
        <v>-0.38</v>
      </c>
      <c r="P5" s="18">
        <v>-0.38</v>
      </c>
      <c r="Q5" s="18">
        <v>-0.62</v>
      </c>
      <c r="R5" s="18">
        <v>0.59</v>
      </c>
      <c r="S5" s="18">
        <v>-0.56000000000000005</v>
      </c>
      <c r="T5" s="18">
        <v>0.23</v>
      </c>
      <c r="U5" s="18">
        <v>-0.01</v>
      </c>
      <c r="V5" s="18">
        <v>-0.15</v>
      </c>
      <c r="W5" s="18">
        <v>-0.04</v>
      </c>
      <c r="X5" s="18">
        <v>-0.17</v>
      </c>
      <c r="Y5" s="18">
        <v>0.44</v>
      </c>
      <c r="Z5" s="18">
        <v>-0.52</v>
      </c>
      <c r="AA5" s="19">
        <v>3.9E-2</v>
      </c>
      <c r="AB5" s="19">
        <v>1.1599999999999999E-2</v>
      </c>
      <c r="AC5" s="19">
        <v>4.87E-2</v>
      </c>
      <c r="AD5" s="19">
        <v>0.16880000000000001</v>
      </c>
    </row>
    <row r="6" spans="2:30" ht="16.5" customHeight="1" thickBot="1" x14ac:dyDescent="0.3">
      <c r="B6" s="20" t="s">
        <v>58</v>
      </c>
      <c r="C6" s="20" t="s">
        <v>5</v>
      </c>
      <c r="D6" s="21">
        <v>-0.11</v>
      </c>
      <c r="E6" s="21" t="s">
        <v>57</v>
      </c>
      <c r="F6" s="21">
        <v>0.28000000000000003</v>
      </c>
      <c r="G6" s="21">
        <v>-0.74</v>
      </c>
      <c r="H6" s="21">
        <v>0.71</v>
      </c>
      <c r="I6" s="21">
        <v>0.21</v>
      </c>
      <c r="J6" s="21">
        <v>0.04</v>
      </c>
      <c r="K6" s="21">
        <v>0.48</v>
      </c>
      <c r="L6" s="21">
        <v>0.46</v>
      </c>
      <c r="M6" s="21">
        <v>0.28000000000000003</v>
      </c>
      <c r="N6" s="21">
        <v>0.35</v>
      </c>
      <c r="O6" s="21">
        <v>0.16</v>
      </c>
      <c r="P6" s="21">
        <v>0.3</v>
      </c>
      <c r="Q6" s="21">
        <v>0.56000000000000005</v>
      </c>
      <c r="R6" s="21">
        <v>-0.1</v>
      </c>
      <c r="S6" s="21">
        <v>0.41</v>
      </c>
      <c r="T6" s="21">
        <v>-0.76</v>
      </c>
      <c r="U6" s="21">
        <v>0.6</v>
      </c>
      <c r="V6" s="21">
        <v>0.49</v>
      </c>
      <c r="W6" s="21">
        <v>-0.31</v>
      </c>
      <c r="X6" s="21">
        <v>0.27</v>
      </c>
      <c r="Y6" s="21">
        <v>-0.27</v>
      </c>
      <c r="Z6" s="21">
        <v>0.14000000000000001</v>
      </c>
      <c r="AA6" s="22">
        <v>0.12570000000000001</v>
      </c>
      <c r="AB6" s="22">
        <v>8.8999999999999999E-3</v>
      </c>
      <c r="AC6" s="22">
        <v>3.3599999999999998E-2</v>
      </c>
      <c r="AD6" s="22">
        <v>0.1163</v>
      </c>
    </row>
    <row r="7" spans="2:30" ht="16.5" customHeight="1" thickBot="1" x14ac:dyDescent="0.3">
      <c r="B7" s="17" t="s">
        <v>59</v>
      </c>
      <c r="C7" s="17" t="s">
        <v>6</v>
      </c>
      <c r="D7" s="18">
        <v>0.25</v>
      </c>
      <c r="E7" s="18">
        <v>0.28000000000000003</v>
      </c>
      <c r="F7" s="18" t="s">
        <v>57</v>
      </c>
      <c r="G7" s="18">
        <v>0.1</v>
      </c>
      <c r="H7" s="18">
        <v>0.36</v>
      </c>
      <c r="I7" s="18">
        <v>0.3</v>
      </c>
      <c r="J7" s="18">
        <v>0.41</v>
      </c>
      <c r="K7" s="18">
        <v>0.78</v>
      </c>
      <c r="L7" s="18">
        <v>0.69</v>
      </c>
      <c r="M7" s="18">
        <v>0.64</v>
      </c>
      <c r="N7" s="18">
        <v>0.52</v>
      </c>
      <c r="O7" s="18">
        <v>0.52</v>
      </c>
      <c r="P7" s="18">
        <v>0.12</v>
      </c>
      <c r="Q7" s="18">
        <v>0.26</v>
      </c>
      <c r="R7" s="18">
        <v>0.78</v>
      </c>
      <c r="S7" s="18">
        <v>0.5</v>
      </c>
      <c r="T7" s="18">
        <v>0.05</v>
      </c>
      <c r="U7" s="18">
        <v>0.43</v>
      </c>
      <c r="V7" s="18">
        <v>0.19</v>
      </c>
      <c r="W7" s="18">
        <v>0.19</v>
      </c>
      <c r="X7" s="18">
        <v>0.55000000000000004</v>
      </c>
      <c r="Y7" s="18">
        <v>0.56999999999999995</v>
      </c>
      <c r="Z7" s="18">
        <v>0.06</v>
      </c>
      <c r="AA7" s="19">
        <v>6.5799999999999997E-2</v>
      </c>
      <c r="AB7" s="19">
        <v>1.7100000000000001E-2</v>
      </c>
      <c r="AC7" s="19">
        <v>7.5200000000000003E-2</v>
      </c>
      <c r="AD7" s="19">
        <v>0.26050000000000001</v>
      </c>
    </row>
    <row r="8" spans="2:30" ht="16.5" customHeight="1" thickBot="1" x14ac:dyDescent="0.3">
      <c r="B8" s="20" t="s">
        <v>60</v>
      </c>
      <c r="C8" s="20" t="s">
        <v>7</v>
      </c>
      <c r="D8" s="21">
        <v>-0.26</v>
      </c>
      <c r="E8" s="21">
        <v>-0.74</v>
      </c>
      <c r="F8" s="21">
        <v>0.1</v>
      </c>
      <c r="G8" s="21" t="s">
        <v>57</v>
      </c>
      <c r="H8" s="21">
        <v>-0.1</v>
      </c>
      <c r="I8" s="21">
        <v>0.38</v>
      </c>
      <c r="J8" s="21">
        <v>0.26</v>
      </c>
      <c r="K8" s="21">
        <v>0.02</v>
      </c>
      <c r="L8" s="21">
        <v>0.04</v>
      </c>
      <c r="M8" s="21">
        <v>-0.17</v>
      </c>
      <c r="N8" s="21">
        <v>0.24</v>
      </c>
      <c r="O8" s="21">
        <v>0.42</v>
      </c>
      <c r="P8" s="21">
        <v>-0.17</v>
      </c>
      <c r="Q8" s="21">
        <v>0.09</v>
      </c>
      <c r="R8" s="21">
        <v>0.21</v>
      </c>
      <c r="S8" s="21">
        <v>0.22</v>
      </c>
      <c r="T8" s="21">
        <v>0.81</v>
      </c>
      <c r="U8" s="21">
        <v>-0.46</v>
      </c>
      <c r="V8" s="21">
        <v>-0.43</v>
      </c>
      <c r="W8" s="21">
        <v>0.28999999999999998</v>
      </c>
      <c r="X8" s="21">
        <v>0.26</v>
      </c>
      <c r="Y8" s="21">
        <v>0.55000000000000004</v>
      </c>
      <c r="Z8" s="21">
        <v>0.02</v>
      </c>
      <c r="AA8" s="22">
        <v>7.5600000000000001E-2</v>
      </c>
      <c r="AB8" s="22">
        <v>1.2200000000000001E-2</v>
      </c>
      <c r="AC8" s="22">
        <v>5.8799999999999998E-2</v>
      </c>
      <c r="AD8" s="22">
        <v>0.20349999999999999</v>
      </c>
    </row>
    <row r="9" spans="2:30" ht="16.5" customHeight="1" thickBot="1" x14ac:dyDescent="0.3">
      <c r="B9" s="17" t="s">
        <v>61</v>
      </c>
      <c r="C9" s="17" t="s">
        <v>8</v>
      </c>
      <c r="D9" s="18">
        <v>-0.35</v>
      </c>
      <c r="E9" s="18">
        <v>0.71</v>
      </c>
      <c r="F9" s="18">
        <v>0.36</v>
      </c>
      <c r="G9" s="18">
        <v>-0.1</v>
      </c>
      <c r="H9" s="18" t="s">
        <v>57</v>
      </c>
      <c r="I9" s="18">
        <v>0.67</v>
      </c>
      <c r="J9" s="18">
        <v>0.42</v>
      </c>
      <c r="K9" s="18">
        <v>0.7</v>
      </c>
      <c r="L9" s="18">
        <v>0.5</v>
      </c>
      <c r="M9" s="18">
        <v>0.31</v>
      </c>
      <c r="N9" s="18">
        <v>0.61</v>
      </c>
      <c r="O9" s="18">
        <v>0.65</v>
      </c>
      <c r="P9" s="18">
        <v>0.02</v>
      </c>
      <c r="Q9" s="18">
        <v>0.91</v>
      </c>
      <c r="R9" s="18">
        <v>-0.05</v>
      </c>
      <c r="S9" s="18">
        <v>0.67</v>
      </c>
      <c r="T9" s="18">
        <v>-0.21</v>
      </c>
      <c r="U9" s="18">
        <v>0.23</v>
      </c>
      <c r="V9" s="18">
        <v>0.15</v>
      </c>
      <c r="W9" s="18">
        <v>-0.14000000000000001</v>
      </c>
      <c r="X9" s="18">
        <v>0.72</v>
      </c>
      <c r="Y9" s="18">
        <v>0.23</v>
      </c>
      <c r="Z9" s="18">
        <v>0.06</v>
      </c>
      <c r="AA9" s="19">
        <v>6.1100000000000002E-2</v>
      </c>
      <c r="AB9" s="19">
        <v>8.2000000000000007E-3</v>
      </c>
      <c r="AC9" s="19">
        <v>4.0099999999999997E-2</v>
      </c>
      <c r="AD9" s="19">
        <v>0.13880000000000001</v>
      </c>
    </row>
    <row r="10" spans="2:30" ht="16.5" customHeight="1" thickBot="1" x14ac:dyDescent="0.3">
      <c r="B10" s="20" t="s">
        <v>62</v>
      </c>
      <c r="C10" s="20" t="s">
        <v>9</v>
      </c>
      <c r="D10" s="21">
        <v>-0.56000000000000005</v>
      </c>
      <c r="E10" s="21">
        <v>0.21</v>
      </c>
      <c r="F10" s="21">
        <v>0.3</v>
      </c>
      <c r="G10" s="21">
        <v>0.38</v>
      </c>
      <c r="H10" s="21">
        <v>0.67</v>
      </c>
      <c r="I10" s="21" t="s">
        <v>57</v>
      </c>
      <c r="J10" s="21">
        <v>0.5</v>
      </c>
      <c r="K10" s="21">
        <v>0.26</v>
      </c>
      <c r="L10" s="21">
        <v>0.67</v>
      </c>
      <c r="M10" s="21">
        <v>-0.2</v>
      </c>
      <c r="N10" s="21">
        <v>0.89</v>
      </c>
      <c r="O10" s="21">
        <v>0.46</v>
      </c>
      <c r="P10" s="21">
        <v>0</v>
      </c>
      <c r="Q10" s="21">
        <v>0.7</v>
      </c>
      <c r="R10" s="21">
        <v>0.16</v>
      </c>
      <c r="S10" s="21">
        <v>0.83</v>
      </c>
      <c r="T10" s="21">
        <v>-0.06</v>
      </c>
      <c r="U10" s="21">
        <v>0.35</v>
      </c>
      <c r="V10" s="21">
        <v>0.42</v>
      </c>
      <c r="W10" s="21">
        <v>-0.04</v>
      </c>
      <c r="X10" s="21">
        <v>0.4</v>
      </c>
      <c r="Y10" s="21">
        <v>0.23</v>
      </c>
      <c r="Z10" s="21">
        <v>0.61</v>
      </c>
      <c r="AA10" s="22">
        <v>5.1200000000000002E-2</v>
      </c>
      <c r="AB10" s="22">
        <v>6.0000000000000001E-3</v>
      </c>
      <c r="AC10" s="22">
        <v>2.8199999999999999E-2</v>
      </c>
      <c r="AD10" s="22">
        <v>9.7699999999999995E-2</v>
      </c>
    </row>
    <row r="11" spans="2:30" ht="16.5" customHeight="1" thickBot="1" x14ac:dyDescent="0.3">
      <c r="B11" s="17" t="s">
        <v>63</v>
      </c>
      <c r="C11" s="17" t="s">
        <v>10</v>
      </c>
      <c r="D11" s="18">
        <v>0.37</v>
      </c>
      <c r="E11" s="18">
        <v>0.04</v>
      </c>
      <c r="F11" s="18">
        <v>0.41</v>
      </c>
      <c r="G11" s="18">
        <v>0.26</v>
      </c>
      <c r="H11" s="18">
        <v>0.42</v>
      </c>
      <c r="I11" s="18">
        <v>0.5</v>
      </c>
      <c r="J11" s="18" t="s">
        <v>57</v>
      </c>
      <c r="K11" s="18">
        <v>0.38</v>
      </c>
      <c r="L11" s="18">
        <v>0.09</v>
      </c>
      <c r="M11" s="18">
        <v>0.47</v>
      </c>
      <c r="N11" s="18">
        <v>0.23</v>
      </c>
      <c r="O11" s="18">
        <v>0.15</v>
      </c>
      <c r="P11" s="18">
        <v>-0.48</v>
      </c>
      <c r="Q11" s="18">
        <v>0.21</v>
      </c>
      <c r="R11" s="18">
        <v>0.64</v>
      </c>
      <c r="S11" s="18">
        <v>0.28000000000000003</v>
      </c>
      <c r="T11" s="18">
        <v>0.35</v>
      </c>
      <c r="U11" s="18">
        <v>0.15</v>
      </c>
      <c r="V11" s="18">
        <v>0.09</v>
      </c>
      <c r="W11" s="18">
        <v>-0.18</v>
      </c>
      <c r="X11" s="18">
        <v>0.31</v>
      </c>
      <c r="Y11" s="18">
        <v>0.77</v>
      </c>
      <c r="Z11" s="18">
        <v>-0.04</v>
      </c>
      <c r="AA11" s="19">
        <v>7.9799999999999996E-2</v>
      </c>
      <c r="AB11" s="19">
        <v>1.55E-2</v>
      </c>
      <c r="AC11" s="19">
        <v>7.1400000000000005E-2</v>
      </c>
      <c r="AD11" s="19">
        <v>0.24740000000000001</v>
      </c>
    </row>
    <row r="12" spans="2:30" ht="16.5" customHeight="1" thickBot="1" x14ac:dyDescent="0.3">
      <c r="B12" s="20" t="s">
        <v>64</v>
      </c>
      <c r="C12" s="20" t="s">
        <v>11</v>
      </c>
      <c r="D12" s="21">
        <v>0.11</v>
      </c>
      <c r="E12" s="21">
        <v>0.48</v>
      </c>
      <c r="F12" s="21">
        <v>0.78</v>
      </c>
      <c r="G12" s="21">
        <v>0.02</v>
      </c>
      <c r="H12" s="21">
        <v>0.7</v>
      </c>
      <c r="I12" s="21">
        <v>0.26</v>
      </c>
      <c r="J12" s="21">
        <v>0.38</v>
      </c>
      <c r="K12" s="21" t="s">
        <v>57</v>
      </c>
      <c r="L12" s="21">
        <v>0.46</v>
      </c>
      <c r="M12" s="21">
        <v>0.78</v>
      </c>
      <c r="N12" s="21">
        <v>0.36</v>
      </c>
      <c r="O12" s="21">
        <v>0.77</v>
      </c>
      <c r="P12" s="21">
        <v>0.1</v>
      </c>
      <c r="Q12" s="21">
        <v>0.62</v>
      </c>
      <c r="R12" s="21">
        <v>0.38</v>
      </c>
      <c r="S12" s="21">
        <v>0.47</v>
      </c>
      <c r="T12" s="21">
        <v>0.13</v>
      </c>
      <c r="U12" s="21">
        <v>0.11</v>
      </c>
      <c r="V12" s="21">
        <v>-0.16</v>
      </c>
      <c r="W12" s="21">
        <v>0.06</v>
      </c>
      <c r="X12" s="21">
        <v>0.83</v>
      </c>
      <c r="Y12" s="21">
        <v>0.56999999999999995</v>
      </c>
      <c r="Z12" s="21">
        <v>-0.33</v>
      </c>
      <c r="AA12" s="22">
        <v>9.9599999999999994E-2</v>
      </c>
      <c r="AB12" s="22">
        <v>1.23E-2</v>
      </c>
      <c r="AC12" s="22">
        <v>5.3100000000000001E-2</v>
      </c>
      <c r="AD12" s="22">
        <v>0.184</v>
      </c>
    </row>
    <row r="13" spans="2:30" ht="16.5" customHeight="1" thickBot="1" x14ac:dyDescent="0.3">
      <c r="B13" s="17" t="s">
        <v>65</v>
      </c>
      <c r="C13" s="17" t="s">
        <v>13</v>
      </c>
      <c r="D13" s="18">
        <v>-0.43</v>
      </c>
      <c r="E13" s="18">
        <v>0.46</v>
      </c>
      <c r="F13" s="18">
        <v>0.69</v>
      </c>
      <c r="G13" s="18">
        <v>0.04</v>
      </c>
      <c r="H13" s="18">
        <v>0.5</v>
      </c>
      <c r="I13" s="18">
        <v>0.67</v>
      </c>
      <c r="J13" s="18">
        <v>0.09</v>
      </c>
      <c r="K13" s="18">
        <v>0.46</v>
      </c>
      <c r="L13" s="18" t="s">
        <v>57</v>
      </c>
      <c r="M13" s="18">
        <v>-0.02</v>
      </c>
      <c r="N13" s="18">
        <v>0.92</v>
      </c>
      <c r="O13" s="18">
        <v>0.46</v>
      </c>
      <c r="P13" s="18">
        <v>0.48</v>
      </c>
      <c r="Q13" s="18">
        <v>0.56999999999999995</v>
      </c>
      <c r="R13" s="18">
        <v>0.34</v>
      </c>
      <c r="S13" s="18">
        <v>0.87</v>
      </c>
      <c r="T13" s="18">
        <v>-0.4</v>
      </c>
      <c r="U13" s="18">
        <v>0.69</v>
      </c>
      <c r="V13" s="18">
        <v>0.61</v>
      </c>
      <c r="W13" s="18">
        <v>0.03</v>
      </c>
      <c r="X13" s="18">
        <v>0.35</v>
      </c>
      <c r="Y13" s="18">
        <v>0</v>
      </c>
      <c r="Z13" s="18">
        <v>0.66</v>
      </c>
      <c r="AA13" s="19">
        <v>7.7899999999999997E-2</v>
      </c>
      <c r="AB13" s="19">
        <v>1.0800000000000001E-2</v>
      </c>
      <c r="AC13" s="19">
        <v>4.6199999999999998E-2</v>
      </c>
      <c r="AD13" s="19">
        <v>0.16009999999999999</v>
      </c>
    </row>
    <row r="14" spans="2:30" ht="16.5" customHeight="1" thickBot="1" x14ac:dyDescent="0.3">
      <c r="B14" s="20" t="s">
        <v>66</v>
      </c>
      <c r="C14" s="20" t="s">
        <v>14</v>
      </c>
      <c r="D14" s="21">
        <v>0.68</v>
      </c>
      <c r="E14" s="21">
        <v>0.28000000000000003</v>
      </c>
      <c r="F14" s="21">
        <v>0.64</v>
      </c>
      <c r="G14" s="21">
        <v>-0.17</v>
      </c>
      <c r="H14" s="21">
        <v>0.31</v>
      </c>
      <c r="I14" s="21">
        <v>-0.2</v>
      </c>
      <c r="J14" s="21">
        <v>0.47</v>
      </c>
      <c r="K14" s="21">
        <v>0.78</v>
      </c>
      <c r="L14" s="21">
        <v>-0.02</v>
      </c>
      <c r="M14" s="21" t="s">
        <v>57</v>
      </c>
      <c r="N14" s="21">
        <v>-0.17</v>
      </c>
      <c r="O14" s="21">
        <v>0.37</v>
      </c>
      <c r="P14" s="21">
        <v>-0.28999999999999998</v>
      </c>
      <c r="Q14" s="21">
        <v>0.05</v>
      </c>
      <c r="R14" s="21">
        <v>0.52</v>
      </c>
      <c r="S14" s="21">
        <v>-0.11</v>
      </c>
      <c r="T14" s="21">
        <v>0.25</v>
      </c>
      <c r="U14" s="21">
        <v>-0.06</v>
      </c>
      <c r="V14" s="21">
        <v>-0.31</v>
      </c>
      <c r="W14" s="21">
        <v>0.14000000000000001</v>
      </c>
      <c r="X14" s="21">
        <v>0.56999999999999995</v>
      </c>
      <c r="Y14" s="21">
        <v>0.68</v>
      </c>
      <c r="Z14" s="21">
        <v>-0.65</v>
      </c>
      <c r="AA14" s="22">
        <v>0.41880000000000001</v>
      </c>
      <c r="AB14" s="22">
        <v>2.01E-2</v>
      </c>
      <c r="AC14" s="22">
        <v>8.09E-2</v>
      </c>
      <c r="AD14" s="22">
        <v>0.28010000000000002</v>
      </c>
    </row>
    <row r="15" spans="2:30" ht="16.5" customHeight="1" thickBot="1" x14ac:dyDescent="0.3">
      <c r="B15" s="17" t="s">
        <v>67</v>
      </c>
      <c r="C15" s="17" t="s">
        <v>15</v>
      </c>
      <c r="D15" s="18">
        <v>-0.6</v>
      </c>
      <c r="E15" s="18">
        <v>0.35</v>
      </c>
      <c r="F15" s="18">
        <v>0.52</v>
      </c>
      <c r="G15" s="18">
        <v>0.24</v>
      </c>
      <c r="H15" s="18">
        <v>0.61</v>
      </c>
      <c r="I15" s="18">
        <v>0.89</v>
      </c>
      <c r="J15" s="18">
        <v>0.23</v>
      </c>
      <c r="K15" s="18">
        <v>0.36</v>
      </c>
      <c r="L15" s="18">
        <v>0.92</v>
      </c>
      <c r="M15" s="18">
        <v>-0.17</v>
      </c>
      <c r="N15" s="18" t="s">
        <v>57</v>
      </c>
      <c r="O15" s="18">
        <v>0.53</v>
      </c>
      <c r="P15" s="18">
        <v>0.28000000000000003</v>
      </c>
      <c r="Q15" s="18">
        <v>0.68</v>
      </c>
      <c r="R15" s="18">
        <v>0.22</v>
      </c>
      <c r="S15" s="18">
        <v>0.91</v>
      </c>
      <c r="T15" s="18">
        <v>-0.26</v>
      </c>
      <c r="U15" s="18">
        <v>0.53</v>
      </c>
      <c r="V15" s="18">
        <v>0.54</v>
      </c>
      <c r="W15" s="18">
        <v>7.0000000000000007E-2</v>
      </c>
      <c r="X15" s="18">
        <v>0.43</v>
      </c>
      <c r="Y15" s="18">
        <v>0.08</v>
      </c>
      <c r="Z15" s="18">
        <v>0.7</v>
      </c>
      <c r="AA15" s="19">
        <v>-1.6299999999999999E-2</v>
      </c>
      <c r="AB15" s="19">
        <v>1.2500000000000001E-2</v>
      </c>
      <c r="AC15" s="19">
        <v>6.0900000000000003E-2</v>
      </c>
      <c r="AD15" s="19">
        <v>0.21099999999999999</v>
      </c>
    </row>
    <row r="16" spans="2:30" ht="16.5" customHeight="1" thickBot="1" x14ac:dyDescent="0.3">
      <c r="B16" s="20" t="s">
        <v>68</v>
      </c>
      <c r="C16" s="20" t="s">
        <v>16</v>
      </c>
      <c r="D16" s="21">
        <v>-0.38</v>
      </c>
      <c r="E16" s="21">
        <v>0.16</v>
      </c>
      <c r="F16" s="21">
        <v>0.52</v>
      </c>
      <c r="G16" s="21">
        <v>0.42</v>
      </c>
      <c r="H16" s="21">
        <v>0.65</v>
      </c>
      <c r="I16" s="21">
        <v>0.46</v>
      </c>
      <c r="J16" s="21">
        <v>0.15</v>
      </c>
      <c r="K16" s="21">
        <v>0.77</v>
      </c>
      <c r="L16" s="21">
        <v>0.46</v>
      </c>
      <c r="M16" s="21">
        <v>0.37</v>
      </c>
      <c r="N16" s="21">
        <v>0.53</v>
      </c>
      <c r="O16" s="21" t="s">
        <v>57</v>
      </c>
      <c r="P16" s="21">
        <v>-0.01</v>
      </c>
      <c r="Q16" s="21">
        <v>0.7</v>
      </c>
      <c r="R16" s="21">
        <v>0.02</v>
      </c>
      <c r="S16" s="21">
        <v>0.5</v>
      </c>
      <c r="T16" s="21">
        <v>0.31</v>
      </c>
      <c r="U16" s="21">
        <v>-0.25</v>
      </c>
      <c r="V16" s="21">
        <v>-0.37</v>
      </c>
      <c r="W16" s="21">
        <v>0.42</v>
      </c>
      <c r="X16" s="21">
        <v>0.94</v>
      </c>
      <c r="Y16" s="21">
        <v>0.48</v>
      </c>
      <c r="Z16" s="21">
        <v>-0.2</v>
      </c>
      <c r="AA16" s="22">
        <v>0.11899999999999999</v>
      </c>
      <c r="AB16" s="22">
        <v>1.54E-2</v>
      </c>
      <c r="AC16" s="22">
        <v>7.1400000000000005E-2</v>
      </c>
      <c r="AD16" s="22">
        <v>0.24729999999999999</v>
      </c>
    </row>
    <row r="17" spans="2:30" ht="16.5" customHeight="1" thickBot="1" x14ac:dyDescent="0.3">
      <c r="B17" s="17" t="s">
        <v>69</v>
      </c>
      <c r="C17" s="17" t="s">
        <v>28</v>
      </c>
      <c r="D17" s="18">
        <v>-0.38</v>
      </c>
      <c r="E17" s="18">
        <v>0.3</v>
      </c>
      <c r="F17" s="18">
        <v>0.12</v>
      </c>
      <c r="G17" s="18">
        <v>-0.17</v>
      </c>
      <c r="H17" s="18">
        <v>0.02</v>
      </c>
      <c r="I17" s="18">
        <v>0</v>
      </c>
      <c r="J17" s="18">
        <v>-0.48</v>
      </c>
      <c r="K17" s="18">
        <v>0.1</v>
      </c>
      <c r="L17" s="18">
        <v>0.48</v>
      </c>
      <c r="M17" s="18">
        <v>-0.28999999999999998</v>
      </c>
      <c r="N17" s="18">
        <v>0.28000000000000003</v>
      </c>
      <c r="O17" s="18">
        <v>-0.01</v>
      </c>
      <c r="P17" s="18" t="s">
        <v>57</v>
      </c>
      <c r="Q17" s="18">
        <v>0.31</v>
      </c>
      <c r="R17" s="18">
        <v>-0.08</v>
      </c>
      <c r="S17" s="18">
        <v>0.5</v>
      </c>
      <c r="T17" s="18">
        <v>-0.42</v>
      </c>
      <c r="U17" s="18">
        <v>0.51</v>
      </c>
      <c r="V17" s="18">
        <v>0.37</v>
      </c>
      <c r="W17" s="18">
        <v>-0.51</v>
      </c>
      <c r="X17" s="18">
        <v>-0.24</v>
      </c>
      <c r="Y17" s="18">
        <v>-0.52</v>
      </c>
      <c r="Z17" s="18">
        <v>0.39</v>
      </c>
      <c r="AA17" s="19">
        <v>-6.1999999999999998E-3</v>
      </c>
      <c r="AB17" s="19">
        <v>4.1200000000000001E-2</v>
      </c>
      <c r="AC17" s="19">
        <v>0.1966</v>
      </c>
      <c r="AD17" s="19">
        <v>0.68089999999999995</v>
      </c>
    </row>
    <row r="18" spans="2:30" ht="16.5" customHeight="1" thickBot="1" x14ac:dyDescent="0.3">
      <c r="B18" s="20" t="s">
        <v>70</v>
      </c>
      <c r="C18" s="20" t="s">
        <v>17</v>
      </c>
      <c r="D18" s="21">
        <v>-0.62</v>
      </c>
      <c r="E18" s="21">
        <v>0.56000000000000005</v>
      </c>
      <c r="F18" s="21">
        <v>0.26</v>
      </c>
      <c r="G18" s="21">
        <v>0.09</v>
      </c>
      <c r="H18" s="21">
        <v>0.91</v>
      </c>
      <c r="I18" s="21">
        <v>0.7</v>
      </c>
      <c r="J18" s="21">
        <v>0.21</v>
      </c>
      <c r="K18" s="21">
        <v>0.62</v>
      </c>
      <c r="L18" s="21">
        <v>0.56999999999999995</v>
      </c>
      <c r="M18" s="21">
        <v>0.05</v>
      </c>
      <c r="N18" s="21">
        <v>0.68</v>
      </c>
      <c r="O18" s="21">
        <v>0.7</v>
      </c>
      <c r="P18" s="21">
        <v>0.31</v>
      </c>
      <c r="Q18" s="21" t="s">
        <v>57</v>
      </c>
      <c r="R18" s="21">
        <v>-0.18</v>
      </c>
      <c r="S18" s="21">
        <v>0.81</v>
      </c>
      <c r="T18" s="21">
        <v>-0.15</v>
      </c>
      <c r="U18" s="21">
        <v>0.19</v>
      </c>
      <c r="V18" s="21">
        <v>0.11</v>
      </c>
      <c r="W18" s="21">
        <v>-0.23</v>
      </c>
      <c r="X18" s="21">
        <v>0.63</v>
      </c>
      <c r="Y18" s="21">
        <v>0.09</v>
      </c>
      <c r="Z18" s="21">
        <v>0.17</v>
      </c>
      <c r="AA18" s="22">
        <v>5.1499999999999997E-2</v>
      </c>
      <c r="AB18" s="22">
        <v>8.9999999999999993E-3</v>
      </c>
      <c r="AC18" s="22">
        <v>3.7499999999999999E-2</v>
      </c>
      <c r="AD18" s="22">
        <v>0.13</v>
      </c>
    </row>
    <row r="19" spans="2:30" ht="16.5" customHeight="1" thickBot="1" x14ac:dyDescent="0.3">
      <c r="B19" s="17" t="s">
        <v>71</v>
      </c>
      <c r="C19" s="17" t="s">
        <v>36</v>
      </c>
      <c r="D19" s="18">
        <v>0.59</v>
      </c>
      <c r="E19" s="18">
        <v>-0.1</v>
      </c>
      <c r="F19" s="18">
        <v>0.78</v>
      </c>
      <c r="G19" s="18">
        <v>0.21</v>
      </c>
      <c r="H19" s="18">
        <v>-0.05</v>
      </c>
      <c r="I19" s="18">
        <v>0.16</v>
      </c>
      <c r="J19" s="18">
        <v>0.64</v>
      </c>
      <c r="K19" s="18">
        <v>0.38</v>
      </c>
      <c r="L19" s="18">
        <v>0.34</v>
      </c>
      <c r="M19" s="18">
        <v>0.52</v>
      </c>
      <c r="N19" s="18">
        <v>0.22</v>
      </c>
      <c r="O19" s="18">
        <v>0.02</v>
      </c>
      <c r="P19" s="18">
        <v>-0.08</v>
      </c>
      <c r="Q19" s="18">
        <v>-0.18</v>
      </c>
      <c r="R19" s="18" t="s">
        <v>57</v>
      </c>
      <c r="S19" s="18">
        <v>0.23</v>
      </c>
      <c r="T19" s="18">
        <v>0.26</v>
      </c>
      <c r="U19" s="18">
        <v>0.41</v>
      </c>
      <c r="V19" s="18">
        <v>0.24</v>
      </c>
      <c r="W19" s="18">
        <v>-0.01</v>
      </c>
      <c r="X19" s="18">
        <v>0.09</v>
      </c>
      <c r="Y19" s="18">
        <v>0.65</v>
      </c>
      <c r="Z19" s="18">
        <v>0.09</v>
      </c>
      <c r="AA19" s="19">
        <v>8.7599999999999997E-2</v>
      </c>
      <c r="AB19" s="19">
        <v>1.21E-2</v>
      </c>
      <c r="AC19" s="19">
        <v>5.8299999999999998E-2</v>
      </c>
      <c r="AD19" s="19">
        <v>0.20200000000000001</v>
      </c>
    </row>
    <row r="20" spans="2:30" ht="16.5" customHeight="1" thickBot="1" x14ac:dyDescent="0.3">
      <c r="B20" s="20" t="s">
        <v>72</v>
      </c>
      <c r="C20" s="20" t="s">
        <v>37</v>
      </c>
      <c r="D20" s="21">
        <v>-0.56000000000000005</v>
      </c>
      <c r="E20" s="21">
        <v>0.41</v>
      </c>
      <c r="F20" s="21">
        <v>0.5</v>
      </c>
      <c r="G20" s="21">
        <v>0.22</v>
      </c>
      <c r="H20" s="21">
        <v>0.67</v>
      </c>
      <c r="I20" s="21">
        <v>0.83</v>
      </c>
      <c r="J20" s="21">
        <v>0.28000000000000003</v>
      </c>
      <c r="K20" s="21">
        <v>0.47</v>
      </c>
      <c r="L20" s="21">
        <v>0.87</v>
      </c>
      <c r="M20" s="21">
        <v>-0.11</v>
      </c>
      <c r="N20" s="21">
        <v>0.91</v>
      </c>
      <c r="O20" s="21">
        <v>0.5</v>
      </c>
      <c r="P20" s="21">
        <v>0.5</v>
      </c>
      <c r="Q20" s="21">
        <v>0.81</v>
      </c>
      <c r="R20" s="21">
        <v>0.23</v>
      </c>
      <c r="S20" s="21" t="s">
        <v>57</v>
      </c>
      <c r="T20" s="21">
        <v>-0.21</v>
      </c>
      <c r="U20" s="21">
        <v>0.56999999999999995</v>
      </c>
      <c r="V20" s="21">
        <v>0.5</v>
      </c>
      <c r="W20" s="21">
        <v>-0.28999999999999998</v>
      </c>
      <c r="X20" s="21">
        <v>0.36</v>
      </c>
      <c r="Y20" s="21">
        <v>0.08</v>
      </c>
      <c r="Z20" s="21">
        <v>0.6</v>
      </c>
      <c r="AA20" s="22">
        <v>5.8200000000000002E-2</v>
      </c>
      <c r="AB20" s="22">
        <v>1.29E-2</v>
      </c>
      <c r="AC20" s="22">
        <v>6.4399999999999999E-2</v>
      </c>
      <c r="AD20" s="22">
        <v>0.22289999999999999</v>
      </c>
    </row>
    <row r="21" spans="2:30" ht="16.5" customHeight="1" thickBot="1" x14ac:dyDescent="0.3">
      <c r="B21" s="17" t="s">
        <v>73</v>
      </c>
      <c r="C21" s="17" t="s">
        <v>38</v>
      </c>
      <c r="D21" s="18">
        <v>0.23</v>
      </c>
      <c r="E21" s="18">
        <v>-0.76</v>
      </c>
      <c r="F21" s="18">
        <v>0.05</v>
      </c>
      <c r="G21" s="18">
        <v>0.81</v>
      </c>
      <c r="H21" s="18">
        <v>-0.21</v>
      </c>
      <c r="I21" s="18">
        <v>-0.06</v>
      </c>
      <c r="J21" s="18">
        <v>0.35</v>
      </c>
      <c r="K21" s="18">
        <v>0.13</v>
      </c>
      <c r="L21" s="18">
        <v>-0.4</v>
      </c>
      <c r="M21" s="18">
        <v>0.25</v>
      </c>
      <c r="N21" s="18">
        <v>-0.26</v>
      </c>
      <c r="O21" s="18">
        <v>0.31</v>
      </c>
      <c r="P21" s="18">
        <v>-0.42</v>
      </c>
      <c r="Q21" s="18">
        <v>-0.15</v>
      </c>
      <c r="R21" s="18">
        <v>0.26</v>
      </c>
      <c r="S21" s="18">
        <v>-0.21</v>
      </c>
      <c r="T21" s="18" t="s">
        <v>57</v>
      </c>
      <c r="U21" s="18">
        <v>-0.71</v>
      </c>
      <c r="V21" s="18">
        <v>-0.77</v>
      </c>
      <c r="W21" s="18">
        <v>0.26</v>
      </c>
      <c r="X21" s="18">
        <v>0.28000000000000003</v>
      </c>
      <c r="Y21" s="18">
        <v>0.74</v>
      </c>
      <c r="Z21" s="18">
        <v>-0.53</v>
      </c>
      <c r="AA21" s="19">
        <v>-7.4099999999999999E-2</v>
      </c>
      <c r="AB21" s="19">
        <v>2.1999999999999999E-2</v>
      </c>
      <c r="AC21" s="19">
        <v>9.69E-2</v>
      </c>
      <c r="AD21" s="19">
        <v>0.33560000000000001</v>
      </c>
    </row>
    <row r="22" spans="2:30" ht="16.5" customHeight="1" thickBot="1" x14ac:dyDescent="0.3">
      <c r="B22" s="20" t="s">
        <v>74</v>
      </c>
      <c r="C22" s="20" t="s">
        <v>41</v>
      </c>
      <c r="D22" s="21">
        <v>-0.01</v>
      </c>
      <c r="E22" s="21">
        <v>0.6</v>
      </c>
      <c r="F22" s="21">
        <v>0.43</v>
      </c>
      <c r="G22" s="21">
        <v>-0.46</v>
      </c>
      <c r="H22" s="21">
        <v>0.23</v>
      </c>
      <c r="I22" s="21">
        <v>0.35</v>
      </c>
      <c r="J22" s="21">
        <v>0.15</v>
      </c>
      <c r="K22" s="21">
        <v>0.11</v>
      </c>
      <c r="L22" s="21">
        <v>0.69</v>
      </c>
      <c r="M22" s="21">
        <v>-0.06</v>
      </c>
      <c r="N22" s="21">
        <v>0.53</v>
      </c>
      <c r="O22" s="21">
        <v>-0.25</v>
      </c>
      <c r="P22" s="21">
        <v>0.51</v>
      </c>
      <c r="Q22" s="21">
        <v>0.19</v>
      </c>
      <c r="R22" s="21">
        <v>0.41</v>
      </c>
      <c r="S22" s="21">
        <v>0.56999999999999995</v>
      </c>
      <c r="T22" s="21">
        <v>-0.71</v>
      </c>
      <c r="U22" s="21" t="s">
        <v>57</v>
      </c>
      <c r="V22" s="21">
        <v>0.94</v>
      </c>
      <c r="W22" s="21">
        <v>-0.46</v>
      </c>
      <c r="X22" s="21">
        <v>-0.25</v>
      </c>
      <c r="Y22" s="21">
        <v>-0.28000000000000003</v>
      </c>
      <c r="Z22" s="21">
        <v>0.7</v>
      </c>
      <c r="AA22" s="22">
        <v>3.3700000000000001E-2</v>
      </c>
      <c r="AB22" s="22">
        <v>4.4000000000000003E-3</v>
      </c>
      <c r="AC22" s="22">
        <v>1.52E-2</v>
      </c>
      <c r="AD22" s="22">
        <v>5.2600000000000001E-2</v>
      </c>
    </row>
    <row r="23" spans="2:30" ht="16.5" customHeight="1" thickBot="1" x14ac:dyDescent="0.3">
      <c r="B23" s="17" t="s">
        <v>75</v>
      </c>
      <c r="C23" s="17" t="s">
        <v>42</v>
      </c>
      <c r="D23" s="18">
        <v>-0.15</v>
      </c>
      <c r="E23" s="18">
        <v>0.49</v>
      </c>
      <c r="F23" s="18">
        <v>0.19</v>
      </c>
      <c r="G23" s="18">
        <v>-0.43</v>
      </c>
      <c r="H23" s="18">
        <v>0.15</v>
      </c>
      <c r="I23" s="18">
        <v>0.42</v>
      </c>
      <c r="J23" s="18">
        <v>0.09</v>
      </c>
      <c r="K23" s="18">
        <v>-0.16</v>
      </c>
      <c r="L23" s="18">
        <v>0.61</v>
      </c>
      <c r="M23" s="18">
        <v>-0.31</v>
      </c>
      <c r="N23" s="18">
        <v>0.54</v>
      </c>
      <c r="O23" s="18">
        <v>-0.37</v>
      </c>
      <c r="P23" s="18">
        <v>0.37</v>
      </c>
      <c r="Q23" s="18">
        <v>0.11</v>
      </c>
      <c r="R23" s="18">
        <v>0.24</v>
      </c>
      <c r="S23" s="18">
        <v>0.5</v>
      </c>
      <c r="T23" s="18">
        <v>-0.77</v>
      </c>
      <c r="U23" s="18">
        <v>0.94</v>
      </c>
      <c r="V23" s="18" t="s">
        <v>57</v>
      </c>
      <c r="W23" s="18">
        <v>-0.38</v>
      </c>
      <c r="X23" s="18">
        <v>-0.37</v>
      </c>
      <c r="Y23" s="18">
        <v>-0.42</v>
      </c>
      <c r="Z23" s="18">
        <v>0.85</v>
      </c>
      <c r="AA23" s="19">
        <v>1.6500000000000001E-2</v>
      </c>
      <c r="AB23" s="19">
        <v>5.5999999999999999E-3</v>
      </c>
      <c r="AC23" s="19">
        <v>2.1299999999999999E-2</v>
      </c>
      <c r="AD23" s="19">
        <v>7.3599999999999999E-2</v>
      </c>
    </row>
    <row r="24" spans="2:30" ht="16.5" customHeight="1" thickBot="1" x14ac:dyDescent="0.3">
      <c r="B24" s="20" t="s">
        <v>76</v>
      </c>
      <c r="C24" s="20" t="s">
        <v>40</v>
      </c>
      <c r="D24" s="21">
        <v>-0.04</v>
      </c>
      <c r="E24" s="21">
        <v>-0.31</v>
      </c>
      <c r="F24" s="21">
        <v>0.19</v>
      </c>
      <c r="G24" s="21">
        <v>0.28999999999999998</v>
      </c>
      <c r="H24" s="21">
        <v>-0.14000000000000001</v>
      </c>
      <c r="I24" s="21">
        <v>-0.04</v>
      </c>
      <c r="J24" s="21">
        <v>-0.18</v>
      </c>
      <c r="K24" s="21">
        <v>0.06</v>
      </c>
      <c r="L24" s="21">
        <v>0.03</v>
      </c>
      <c r="M24" s="21">
        <v>0.14000000000000001</v>
      </c>
      <c r="N24" s="21">
        <v>7.0000000000000007E-2</v>
      </c>
      <c r="O24" s="21">
        <v>0.42</v>
      </c>
      <c r="P24" s="21">
        <v>-0.51</v>
      </c>
      <c r="Q24" s="21">
        <v>-0.23</v>
      </c>
      <c r="R24" s="21">
        <v>-0.01</v>
      </c>
      <c r="S24" s="21">
        <v>-0.28999999999999998</v>
      </c>
      <c r="T24" s="21">
        <v>0.26</v>
      </c>
      <c r="U24" s="21">
        <v>-0.46</v>
      </c>
      <c r="V24" s="21">
        <v>-0.38</v>
      </c>
      <c r="W24" s="21" t="s">
        <v>57</v>
      </c>
      <c r="X24" s="21">
        <v>0.46</v>
      </c>
      <c r="Y24" s="21">
        <v>0.26</v>
      </c>
      <c r="Z24" s="21">
        <v>-0.17</v>
      </c>
      <c r="AA24" s="22">
        <v>-1.15E-2</v>
      </c>
      <c r="AB24" s="22">
        <v>1.9800000000000002E-2</v>
      </c>
      <c r="AC24" s="22">
        <v>8.9899999999999994E-2</v>
      </c>
      <c r="AD24" s="22">
        <v>0.3115</v>
      </c>
    </row>
    <row r="25" spans="2:30" ht="16.5" customHeight="1" thickBot="1" x14ac:dyDescent="0.3">
      <c r="B25" s="17" t="s">
        <v>77</v>
      </c>
      <c r="C25" s="17" t="s">
        <v>35</v>
      </c>
      <c r="D25" s="18">
        <v>-0.17</v>
      </c>
      <c r="E25" s="18">
        <v>0.27</v>
      </c>
      <c r="F25" s="18">
        <v>0.55000000000000004</v>
      </c>
      <c r="G25" s="18">
        <v>0.26</v>
      </c>
      <c r="H25" s="18">
        <v>0.72</v>
      </c>
      <c r="I25" s="18">
        <v>0.4</v>
      </c>
      <c r="J25" s="18">
        <v>0.31</v>
      </c>
      <c r="K25" s="18">
        <v>0.83</v>
      </c>
      <c r="L25" s="18">
        <v>0.35</v>
      </c>
      <c r="M25" s="18">
        <v>0.56999999999999995</v>
      </c>
      <c r="N25" s="18">
        <v>0.43</v>
      </c>
      <c r="O25" s="18">
        <v>0.94</v>
      </c>
      <c r="P25" s="18">
        <v>-0.24</v>
      </c>
      <c r="Q25" s="18">
        <v>0.63</v>
      </c>
      <c r="R25" s="18">
        <v>0.09</v>
      </c>
      <c r="S25" s="18">
        <v>0.36</v>
      </c>
      <c r="T25" s="18">
        <v>0.28000000000000003</v>
      </c>
      <c r="U25" s="18">
        <v>-0.25</v>
      </c>
      <c r="V25" s="18">
        <v>-0.37</v>
      </c>
      <c r="W25" s="18">
        <v>0.46</v>
      </c>
      <c r="X25" s="18" t="s">
        <v>57</v>
      </c>
      <c r="Y25" s="18">
        <v>0.59</v>
      </c>
      <c r="Z25" s="18">
        <v>-0.33</v>
      </c>
      <c r="AA25" s="19">
        <v>1.8E-3</v>
      </c>
      <c r="AB25" s="19">
        <v>1.6799999999999999E-2</v>
      </c>
      <c r="AC25" s="19">
        <v>8.0299999999999996E-2</v>
      </c>
      <c r="AD25" s="19">
        <v>0.27800000000000002</v>
      </c>
    </row>
    <row r="26" spans="2:30" ht="16.5" customHeight="1" thickBot="1" x14ac:dyDescent="0.3">
      <c r="B26" s="20" t="s">
        <v>78</v>
      </c>
      <c r="C26" s="20" t="s">
        <v>34</v>
      </c>
      <c r="D26" s="21">
        <v>0.44</v>
      </c>
      <c r="E26" s="21">
        <v>-0.27</v>
      </c>
      <c r="F26" s="21">
        <v>0.56999999999999995</v>
      </c>
      <c r="G26" s="21">
        <v>0.55000000000000004</v>
      </c>
      <c r="H26" s="21">
        <v>0.23</v>
      </c>
      <c r="I26" s="21">
        <v>0.23</v>
      </c>
      <c r="J26" s="21">
        <v>0.77</v>
      </c>
      <c r="K26" s="21">
        <v>0.56999999999999995</v>
      </c>
      <c r="L26" s="21">
        <v>0</v>
      </c>
      <c r="M26" s="21">
        <v>0.68</v>
      </c>
      <c r="N26" s="21">
        <v>0.08</v>
      </c>
      <c r="O26" s="21">
        <v>0.48</v>
      </c>
      <c r="P26" s="21">
        <v>-0.52</v>
      </c>
      <c r="Q26" s="21">
        <v>0.09</v>
      </c>
      <c r="R26" s="21">
        <v>0.65</v>
      </c>
      <c r="S26" s="21">
        <v>0.08</v>
      </c>
      <c r="T26" s="21">
        <v>0.74</v>
      </c>
      <c r="U26" s="21">
        <v>-0.28000000000000003</v>
      </c>
      <c r="V26" s="21">
        <v>-0.42</v>
      </c>
      <c r="W26" s="21">
        <v>0.26</v>
      </c>
      <c r="X26" s="21">
        <v>0.59</v>
      </c>
      <c r="Y26" s="21" t="s">
        <v>57</v>
      </c>
      <c r="Z26" s="21">
        <v>-0.42</v>
      </c>
      <c r="AA26" s="22">
        <v>-1.7299999999999999E-2</v>
      </c>
      <c r="AB26" s="22">
        <v>2.1899999999999999E-2</v>
      </c>
      <c r="AC26" s="22">
        <v>8.8700000000000001E-2</v>
      </c>
      <c r="AD26" s="22">
        <v>0.30730000000000002</v>
      </c>
    </row>
    <row r="27" spans="2:30" ht="16.5" customHeight="1" x14ac:dyDescent="0.25">
      <c r="B27" s="17" t="s">
        <v>79</v>
      </c>
      <c r="C27" s="17" t="s">
        <v>27</v>
      </c>
      <c r="D27" s="18">
        <v>-0.52</v>
      </c>
      <c r="E27" s="18">
        <v>0.14000000000000001</v>
      </c>
      <c r="F27" s="18">
        <v>0.06</v>
      </c>
      <c r="G27" s="18">
        <v>0.02</v>
      </c>
      <c r="H27" s="18">
        <v>0.06</v>
      </c>
      <c r="I27" s="18">
        <v>0.61</v>
      </c>
      <c r="J27" s="18">
        <v>-0.04</v>
      </c>
      <c r="K27" s="18">
        <v>-0.33</v>
      </c>
      <c r="L27" s="18">
        <v>0.66</v>
      </c>
      <c r="M27" s="18">
        <v>-0.65</v>
      </c>
      <c r="N27" s="18">
        <v>0.7</v>
      </c>
      <c r="O27" s="18">
        <v>-0.2</v>
      </c>
      <c r="P27" s="18">
        <v>0.39</v>
      </c>
      <c r="Q27" s="18">
        <v>0.17</v>
      </c>
      <c r="R27" s="18">
        <v>0.09</v>
      </c>
      <c r="S27" s="18">
        <v>0.6</v>
      </c>
      <c r="T27" s="18">
        <v>-0.53</v>
      </c>
      <c r="U27" s="18">
        <v>0.7</v>
      </c>
      <c r="V27" s="18">
        <v>0.85</v>
      </c>
      <c r="W27" s="18">
        <v>-0.17</v>
      </c>
      <c r="X27" s="18">
        <v>-0.33</v>
      </c>
      <c r="Y27" s="18">
        <v>-0.42</v>
      </c>
      <c r="Z27" s="18" t="s">
        <v>57</v>
      </c>
      <c r="AA27" s="19">
        <v>7.6799999999999993E-2</v>
      </c>
      <c r="AB27" s="19">
        <v>1.12E-2</v>
      </c>
      <c r="AC27" s="19">
        <v>4.7500000000000001E-2</v>
      </c>
      <c r="AD27" s="19">
        <v>0.16439999999999999</v>
      </c>
    </row>
    <row r="32" spans="2:30" ht="16.5" customHeight="1" x14ac:dyDescent="0.25">
      <c r="D32">
        <f>INDEX(C4:Z27,MATCH(D4,C4:Z4,0),MATCH(C6,C4:C27,0))</f>
        <v>-0.11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Portfolio Breakdown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</dc:creator>
  <cp:lastModifiedBy>Lo</cp:lastModifiedBy>
  <dcterms:created xsi:type="dcterms:W3CDTF">2020-06-19T17:09:57Z</dcterms:created>
  <dcterms:modified xsi:type="dcterms:W3CDTF">2022-11-24T17:20:33Z</dcterms:modified>
</cp:coreProperties>
</file>